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5d88568aaf72c5b/1.Projects/MCAA/"/>
    </mc:Choice>
  </mc:AlternateContent>
  <xr:revisionPtr revIDLastSave="4" documentId="11_490FEA3D88750C2F026C0482A0D5D12107683BE6" xr6:coauthVersionLast="47" xr6:coauthVersionMax="47" xr10:uidLastSave="{93D265A5-3BD5-456E-BB97-06FFB306D9EE}"/>
  <bookViews>
    <workbookView xWindow="-108" yWindow="-108" windowWidth="23256" windowHeight="12456" tabRatio="640" activeTab="3" xr2:uid="{00000000-000D-0000-FFFF-FFFF00000000}"/>
  </bookViews>
  <sheets>
    <sheet name="Dashboard" sheetId="1" r:id="rId1"/>
    <sheet name="Comprehensive list" sheetId="2" r:id="rId2"/>
    <sheet name="Bank Reconciliation" sheetId="4" r:id="rId3"/>
    <sheet name="Bank Statement" sheetId="3" r:id="rId4"/>
    <sheet name="Matching Audit Log" sheetId="8" r:id="rId5"/>
    <sheet name="Expense Register" sheetId="5" r:id="rId6"/>
    <sheet name="Payment Summary" sheetId="6" r:id="rId7"/>
    <sheet name="Members Report" sheetId="7" r:id="rId8"/>
    <sheet name="Street Captains" sheetId="9" r:id="rId9"/>
    <sheet name="Blignautsrus North" sheetId="10" r:id="rId10"/>
    <sheet name="Note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1" i="10" l="1"/>
  <c r="AK54" i="10" s="1"/>
  <c r="AK61" i="10" s="1"/>
  <c r="AK56" i="10"/>
  <c r="AI56" i="10"/>
  <c r="AG56" i="10"/>
  <c r="U56" i="10"/>
  <c r="S56" i="10"/>
  <c r="Q56" i="10"/>
  <c r="AK55" i="10"/>
  <c r="AI55" i="10"/>
  <c r="AG55" i="10"/>
  <c r="U55" i="10"/>
  <c r="S55" i="10"/>
  <c r="Q55" i="10"/>
  <c r="M55" i="10"/>
  <c r="AM52" i="10"/>
  <c r="AM56" i="10" s="1"/>
  <c r="AL52" i="10"/>
  <c r="AM55" i="10" s="1"/>
  <c r="AM61" i="10" s="1"/>
  <c r="AK52" i="10"/>
  <c r="AJ52" i="10"/>
  <c r="AI52" i="10"/>
  <c r="AH52" i="10"/>
  <c r="AG52" i="10"/>
  <c r="AF52" i="10"/>
  <c r="AE52" i="10"/>
  <c r="AE56" i="10" s="1"/>
  <c r="AD52" i="10"/>
  <c r="AE55" i="10" s="1"/>
  <c r="AC52" i="10"/>
  <c r="AB52" i="10"/>
  <c r="AA52" i="10"/>
  <c r="AA56" i="10" s="1"/>
  <c r="AC56" i="10" s="1"/>
  <c r="Z52" i="10"/>
  <c r="AA55" i="10" s="1"/>
  <c r="AC55" i="10" s="1"/>
  <c r="Y52" i="10"/>
  <c r="Y56" i="10" s="1"/>
  <c r="X52" i="10"/>
  <c r="Y55" i="10" s="1"/>
  <c r="W52" i="10"/>
  <c r="W56" i="10" s="1"/>
  <c r="V52" i="10"/>
  <c r="W55" i="10" s="1"/>
  <c r="U52" i="10"/>
  <c r="T52" i="10"/>
  <c r="S52" i="10"/>
  <c r="R52" i="10"/>
  <c r="Q52" i="10"/>
  <c r="P52" i="10"/>
  <c r="O52" i="10"/>
  <c r="O56" i="10" s="1"/>
  <c r="N52" i="10"/>
  <c r="O55" i="10" s="1"/>
  <c r="M52" i="10"/>
  <c r="M56" i="10" s="1"/>
  <c r="L52" i="10"/>
  <c r="K52" i="10"/>
  <c r="K56" i="10" s="1"/>
  <c r="J52" i="10"/>
  <c r="K55" i="10" s="1"/>
  <c r="D535" i="2"/>
  <c r="AH443" i="2"/>
  <c r="AH433" i="2"/>
  <c r="AB433" i="2"/>
  <c r="V433" i="2"/>
  <c r="R433" i="2"/>
  <c r="J433" i="2"/>
  <c r="AH411" i="2"/>
  <c r="Z411" i="2"/>
  <c r="V411" i="2"/>
  <c r="T411" i="2"/>
  <c r="AH396" i="2"/>
  <c r="AH335" i="2"/>
  <c r="AH323" i="2"/>
  <c r="V323" i="2"/>
  <c r="AB316" i="2"/>
  <c r="AH243" i="2"/>
  <c r="AH117" i="2"/>
  <c r="AB117" i="2"/>
  <c r="P117" i="2"/>
  <c r="N109" i="2"/>
  <c r="AH24" i="2"/>
  <c r="L60" i="1"/>
  <c r="L59" i="1"/>
  <c r="L58" i="1"/>
  <c r="L57" i="1"/>
  <c r="L56" i="1"/>
  <c r="L55" i="1"/>
  <c r="L54" i="1"/>
  <c r="L53" i="1"/>
  <c r="C53" i="1"/>
  <c r="L52" i="1"/>
  <c r="E52" i="1"/>
  <c r="C52" i="1"/>
  <c r="D52" i="1" s="1"/>
  <c r="B52" i="1"/>
  <c r="L51" i="1"/>
  <c r="E51" i="1"/>
  <c r="C51" i="1"/>
  <c r="D51" i="1" s="1"/>
  <c r="B51" i="1"/>
  <c r="L50" i="1"/>
  <c r="E50" i="1"/>
  <c r="D50" i="1"/>
  <c r="C50" i="1"/>
  <c r="B50" i="1"/>
  <c r="L49" i="1"/>
  <c r="E49" i="1"/>
  <c r="C49" i="1"/>
  <c r="D49" i="1" s="1"/>
  <c r="B49" i="1"/>
  <c r="L48" i="1"/>
  <c r="E48" i="1"/>
  <c r="C48" i="1"/>
  <c r="D48" i="1" s="1"/>
  <c r="B48" i="1"/>
  <c r="L47" i="1"/>
  <c r="E47" i="1"/>
  <c r="C47" i="1"/>
  <c r="D47" i="1" s="1"/>
  <c r="B47" i="1"/>
  <c r="L46" i="1"/>
  <c r="E46" i="1"/>
  <c r="C46" i="1"/>
  <c r="D46" i="1" s="1"/>
  <c r="B46" i="1"/>
  <c r="L45" i="1"/>
  <c r="E45" i="1"/>
  <c r="D45" i="1"/>
  <c r="C45" i="1"/>
  <c r="B45" i="1"/>
  <c r="L44" i="1"/>
  <c r="E44" i="1"/>
  <c r="C44" i="1"/>
  <c r="D44" i="1" s="1"/>
  <c r="B44" i="1"/>
  <c r="L43" i="1"/>
  <c r="E43" i="1"/>
  <c r="C43" i="1"/>
  <c r="D43" i="1" s="1"/>
  <c r="B43" i="1"/>
  <c r="C37" i="1"/>
  <c r="D36" i="1"/>
  <c r="E36" i="1" s="1"/>
  <c r="C36" i="1"/>
  <c r="D35" i="1"/>
  <c r="E35" i="1" s="1"/>
  <c r="C35" i="1"/>
  <c r="D34" i="1"/>
  <c r="E34" i="1" s="1"/>
  <c r="C34" i="1"/>
  <c r="E33" i="1"/>
  <c r="D33" i="1"/>
  <c r="C33" i="1"/>
  <c r="D32" i="1"/>
  <c r="E32" i="1" s="1"/>
  <c r="C32" i="1"/>
  <c r="D31" i="1"/>
  <c r="E31" i="1" s="1"/>
  <c r="C31" i="1"/>
  <c r="J30" i="1"/>
  <c r="D30" i="1"/>
  <c r="E30" i="1" s="1"/>
  <c r="C30" i="1"/>
  <c r="J29" i="1"/>
  <c r="D29" i="1"/>
  <c r="E29" i="1" s="1"/>
  <c r="C29" i="1"/>
  <c r="J28" i="1"/>
  <c r="D28" i="1"/>
  <c r="E28" i="1" s="1"/>
  <c r="C28" i="1"/>
  <c r="J27" i="1"/>
  <c r="D27" i="1"/>
  <c r="E27" i="1" s="1"/>
  <c r="C27" i="1"/>
  <c r="J26" i="1"/>
  <c r="D26" i="1"/>
  <c r="E26" i="1" s="1"/>
  <c r="C26" i="1"/>
  <c r="J25" i="1"/>
  <c r="D25" i="1"/>
  <c r="E25" i="1" s="1"/>
  <c r="C25" i="1"/>
  <c r="J24" i="1"/>
  <c r="D24" i="1"/>
  <c r="E24" i="1" s="1"/>
  <c r="C24" i="1"/>
  <c r="J19" i="1"/>
  <c r="H19" i="1"/>
  <c r="F19" i="1"/>
  <c r="D19" i="1"/>
  <c r="B19" i="1"/>
  <c r="K61" i="10" l="1"/>
  <c r="M54" i="10" s="1"/>
  <c r="M61" i="10" s="1"/>
  <c r="O54" i="10" s="1"/>
  <c r="O61" i="10" s="1"/>
  <c r="Q54" i="10" s="1"/>
  <c r="Q61" i="10" s="1"/>
  <c r="S54" i="10" s="1"/>
  <c r="S61" i="10" s="1"/>
  <c r="U54" i="10" s="1"/>
  <c r="U61" i="10" s="1"/>
  <c r="W54" i="10" s="1"/>
  <c r="W61" i="10" s="1"/>
  <c r="Y54" i="10" s="1"/>
  <c r="Y61" i="10" s="1"/>
  <c r="AA54" i="10" s="1"/>
  <c r="AA61" i="10" s="1"/>
  <c r="AC54" i="10" s="1"/>
  <c r="AC61" i="10" s="1"/>
  <c r="AE54" i="10" s="1"/>
  <c r="AE61" i="10" s="1"/>
  <c r="AG54" i="10" s="1"/>
  <c r="AG61" i="10" s="1"/>
</calcChain>
</file>

<file path=xl/sharedStrings.xml><?xml version="1.0" encoding="utf-8"?>
<sst xmlns="http://schemas.openxmlformats.org/spreadsheetml/2006/main" count="6524" uniqueCount="2220">
  <si>
    <t>Date</t>
  </si>
  <si>
    <t>Reference</t>
  </si>
  <si>
    <t>Amount In (R)</t>
  </si>
  <si>
    <t>Category</t>
  </si>
  <si>
    <t>Method</t>
  </si>
  <si>
    <t>Confidence</t>
  </si>
  <si>
    <t>Matched Member</t>
  </si>
  <si>
    <t>Row #</t>
  </si>
  <si>
    <t>Address</t>
  </si>
  <si>
    <t>Plot</t>
  </si>
  <si>
    <t>Notes</t>
  </si>
  <si>
    <t>02/03/2026</t>
  </si>
  <si>
    <t>MIDVILLECACONTRAEEC0936DA6573E</t>
  </si>
  <si>
    <t>Membership (DO batch)</t>
  </si>
  <si>
    <t>DO_BATCH</t>
  </si>
  <si>
    <t>HIGH</t>
  </si>
  <si>
    <t>(DO batch)</t>
  </si>
  <si>
    <t>GOMES 116 DE WET</t>
  </si>
  <si>
    <t>Membership (EFT)</t>
  </si>
  <si>
    <t>PLOT_STREET</t>
  </si>
  <si>
    <t>Phil &amp; Chanty Gomes</t>
  </si>
  <si>
    <t>De Wet Street</t>
  </si>
  <si>
    <t>116</t>
  </si>
  <si>
    <t>G.van Jaarsveld(87 Golf Course</t>
  </si>
  <si>
    <t>Gareth van Jaarsveld</t>
  </si>
  <si>
    <t>Golf Course Road</t>
  </si>
  <si>
    <t>87</t>
  </si>
  <si>
    <t>62 NICO PELSER STREE</t>
  </si>
  <si>
    <t>Peggy Bennett</t>
  </si>
  <si>
    <t>Nico Pelser</t>
  </si>
  <si>
    <t>62</t>
  </si>
  <si>
    <t>BLGN11F</t>
  </si>
  <si>
    <t>MANUAL</t>
  </si>
  <si>
    <t>John Carr</t>
  </si>
  <si>
    <t>Blignaut Street</t>
  </si>
  <si>
    <t>11</t>
  </si>
  <si>
    <t>Matched via Blignaut St plot 11 (John Carr) — D/O ref updated</t>
  </si>
  <si>
    <t>37-1ST AVE WALKERVILLE</t>
  </si>
  <si>
    <t>Peter Kairuz</t>
  </si>
  <si>
    <t>First Avenue</t>
  </si>
  <si>
    <t>37</t>
  </si>
  <si>
    <t>Matched via 1st Ave plot 37 — Peter Kairuz</t>
  </si>
  <si>
    <t>03/03/2026</t>
  </si>
  <si>
    <t>MIDVILLECACONTRAEAC49E66A6503A</t>
  </si>
  <si>
    <t>M MUTHALA</t>
  </si>
  <si>
    <t>NAME</t>
  </si>
  <si>
    <t>Gift &amp; Charity Muthala</t>
  </si>
  <si>
    <t>Road No 7</t>
  </si>
  <si>
    <t>248/1</t>
  </si>
  <si>
    <t>153 HOA HLONGWANE</t>
  </si>
  <si>
    <t>PLOT_ONLY</t>
  </si>
  <si>
    <t>Zama and Petunia Hlongwane</t>
  </si>
  <si>
    <t>153</t>
  </si>
  <si>
    <t>04/03/2026</t>
  </si>
  <si>
    <t>M DE VRIES 148/1</t>
  </si>
  <si>
    <t>Johan and Lelly De Vries (Tennants)</t>
  </si>
  <si>
    <t>Road No 7  (No Name)</t>
  </si>
  <si>
    <t>148/1</t>
  </si>
  <si>
    <t>05/03/2026</t>
  </si>
  <si>
    <t>MIDVILLECACONTRAEDC59969A3513F</t>
  </si>
  <si>
    <t>244RD7HAO-ANDRE</t>
  </si>
  <si>
    <t>Andre De Vries</t>
  </si>
  <si>
    <t>244</t>
  </si>
  <si>
    <t>ABSA BANK 85 Golf Course Road</t>
  </si>
  <si>
    <t>Previn Naidoo</t>
  </si>
  <si>
    <t>85</t>
  </si>
  <si>
    <t>S GROENEWALD</t>
  </si>
  <si>
    <t>Jason and Steven Groenewald</t>
  </si>
  <si>
    <t>Eeufees Street</t>
  </si>
  <si>
    <t>69</t>
  </si>
  <si>
    <t>06/03/2026</t>
  </si>
  <si>
    <t>MIDVILLECACONTRAEAC29A68A4503B</t>
  </si>
  <si>
    <t>09/03/2026</t>
  </si>
  <si>
    <t>MIDVILLECACONTRAE5C79F66AA5731</t>
  </si>
  <si>
    <t>12/03/2026</t>
  </si>
  <si>
    <t>MIDVILLECACONTRAEFC19D69A55F38</t>
  </si>
  <si>
    <t>16/03/2026</t>
  </si>
  <si>
    <t>MIDVILLECACONTRAEBC7936AAA5F3C</t>
  </si>
  <si>
    <t>17/03/2026</t>
  </si>
  <si>
    <t>MIDVILLECACONTRAEAC19B68A15F3C</t>
  </si>
  <si>
    <t>18/03/2026</t>
  </si>
  <si>
    <t>MIDVILLECACONTRAE4C69B6DA65431</t>
  </si>
  <si>
    <t>20/03/2026</t>
  </si>
  <si>
    <t>ABSA BANK Plot82Blignautsrus</t>
  </si>
  <si>
    <t>REF_EXACT</t>
  </si>
  <si>
    <t>Terry Shapiro</t>
  </si>
  <si>
    <t>Danie Theron</t>
  </si>
  <si>
    <t>82</t>
  </si>
  <si>
    <t>23/03/2026</t>
  </si>
  <si>
    <t>MIDVILLECACONTRAE9C3986CA0543B</t>
  </si>
  <si>
    <t>62 NICO PELSER ST.</t>
  </si>
  <si>
    <t>DOLLY CAMERA</t>
  </si>
  <si>
    <t>Camera</t>
  </si>
  <si>
    <t>Dolly Lolwane (Pride Elephant)</t>
  </si>
  <si>
    <t>Eloff Street</t>
  </si>
  <si>
    <t>57</t>
  </si>
  <si>
    <t>24/03/2026</t>
  </si>
  <si>
    <t>Sonya cameras 74 gol</t>
  </si>
  <si>
    <t>Andy and Sonya Delahunty</t>
  </si>
  <si>
    <t>74</t>
  </si>
  <si>
    <t>DAMASKUS PROJECTS</t>
  </si>
  <si>
    <t>Camera (sponsor)</t>
  </si>
  <si>
    <t>SPONSOR</t>
  </si>
  <si>
    <t>94 NEL ST /CAMERAS</t>
  </si>
  <si>
    <t>Debbie Rautenbach (Liesl Seymore)</t>
  </si>
  <si>
    <t>Nel Street</t>
  </si>
  <si>
    <t>94</t>
  </si>
  <si>
    <t>Bernadette sec camera 38 eloff</t>
  </si>
  <si>
    <t>Bunty &amp; Lindsay Coryndon-Baker</t>
  </si>
  <si>
    <t>38</t>
  </si>
  <si>
    <t>9 D. Theron; 2026</t>
  </si>
  <si>
    <t>Miroslaw Benpkavic</t>
  </si>
  <si>
    <t>9</t>
  </si>
  <si>
    <t>9 D. Theron; CAMERA</t>
  </si>
  <si>
    <t>FIFTH STREET - CAMER</t>
  </si>
  <si>
    <t>25/03/2026</t>
  </si>
  <si>
    <t>N SIBEKO</t>
  </si>
  <si>
    <t>Nozisi (Nono) Sibeko &amp; Given Sibeko</t>
  </si>
  <si>
    <t>58</t>
  </si>
  <si>
    <t>MIDVILLECACONTRAE4CF996EAB533A</t>
  </si>
  <si>
    <t>William Cameras</t>
  </si>
  <si>
    <t>William Jackson</t>
  </si>
  <si>
    <t>55</t>
  </si>
  <si>
    <t>G THIELE</t>
  </si>
  <si>
    <t>Graham Thiele</t>
  </si>
  <si>
    <t>83</t>
  </si>
  <si>
    <t>Plot 100 Nel cameras</t>
  </si>
  <si>
    <t>Mbulelo Mbenenge</t>
  </si>
  <si>
    <t>100</t>
  </si>
  <si>
    <t>D/O ref "Plot 100 Nel cameras" → Mbulelo Mbenenge (row 379)</t>
  </si>
  <si>
    <t>P Fourie Cameras</t>
  </si>
  <si>
    <t>Pieter Fourie</t>
  </si>
  <si>
    <t>Fifth Street</t>
  </si>
  <si>
    <t>19</t>
  </si>
  <si>
    <t>Nathaniel/78 camera</t>
  </si>
  <si>
    <t>Tracey Van Niekerk</t>
  </si>
  <si>
    <t>90</t>
  </si>
  <si>
    <t>L CERQUEIRA - CAMERAS</t>
  </si>
  <si>
    <t>Lore-lei Cerqueira</t>
  </si>
  <si>
    <t>Hillside Road</t>
  </si>
  <si>
    <t>Isobel Cameras Nel s</t>
  </si>
  <si>
    <t>Isobel Van Der Motten</t>
  </si>
  <si>
    <t>92</t>
  </si>
  <si>
    <t>2ND 042</t>
  </si>
  <si>
    <t>Robert</t>
  </si>
  <si>
    <t>Second Ave.</t>
  </si>
  <si>
    <t>42</t>
  </si>
  <si>
    <t>D/O ref 2ND 042 → Robert, Second Ave plot 42 (row 138)</t>
  </si>
  <si>
    <t>KHUMBULA-CAMERAS</t>
  </si>
  <si>
    <t>Khumbula Dlamini</t>
  </si>
  <si>
    <t>Orchard Road</t>
  </si>
  <si>
    <t>Pikkie 10 danie ther</t>
  </si>
  <si>
    <t>Heinrich Hendrikz</t>
  </si>
  <si>
    <t>10</t>
  </si>
  <si>
    <t>ABSA BANK 66 Nico P cameras</t>
  </si>
  <si>
    <t>Bradley and Sharon Bantjes</t>
  </si>
  <si>
    <t>66</t>
  </si>
  <si>
    <t>ABSA BANK 82Blig terry+cameras</t>
  </si>
  <si>
    <t>SN MESSENGER</t>
  </si>
  <si>
    <t>Steve Messenger/Juanita</t>
  </si>
  <si>
    <t>41</t>
  </si>
  <si>
    <t>Mpho Cameras</t>
  </si>
  <si>
    <t>Mpho Thanjekwayo</t>
  </si>
  <si>
    <t>45</t>
  </si>
  <si>
    <t>26/03/2026</t>
  </si>
  <si>
    <t>MIDVILLECACONTRAEDCE996EA7553A</t>
  </si>
  <si>
    <t>30 ELOFF STR.</t>
  </si>
  <si>
    <t>Candice Smith</t>
  </si>
  <si>
    <t>30</t>
  </si>
  <si>
    <t>27/03/2026</t>
  </si>
  <si>
    <t>MIDVILLECACONTRAE5CE9D6CA15431</t>
  </si>
  <si>
    <t>ABSA BANK Previn-Cameras</t>
  </si>
  <si>
    <t>S MASANGO 110 de Wet</t>
  </si>
  <si>
    <t>Sifiso Masango / Tumiso</t>
  </si>
  <si>
    <t>110</t>
  </si>
  <si>
    <t>Van Niekerk cameras</t>
  </si>
  <si>
    <t>Mark Thompson,37 Green rd,Golf</t>
  </si>
  <si>
    <t>Mark Thompson</t>
  </si>
  <si>
    <t>Green Road</t>
  </si>
  <si>
    <t>Byron Nel st cameras</t>
  </si>
  <si>
    <t>AF BANK chapman nel str cam</t>
  </si>
  <si>
    <t>Andrew Chapman</t>
  </si>
  <si>
    <t>96</t>
  </si>
  <si>
    <t>43 FIRST AVENUE CAMERAS</t>
  </si>
  <si>
    <t>Shaun Traut</t>
  </si>
  <si>
    <t>43</t>
  </si>
  <si>
    <t>PayShapReceived BLGN15F</t>
  </si>
  <si>
    <t>BLG108</t>
  </si>
  <si>
    <t>Nazam</t>
  </si>
  <si>
    <t>108</t>
  </si>
  <si>
    <t>Multi-ref: EFT REF 108 BLG, BLG108, BLG108 CAMERA → Nazam (row 396)</t>
  </si>
  <si>
    <t>65 NICO PELSER</t>
  </si>
  <si>
    <t>Reginald Kairuz and Lucielle De Klerk</t>
  </si>
  <si>
    <t>65</t>
  </si>
  <si>
    <t>28/03/2026</t>
  </si>
  <si>
    <t>MIDVILLECACONTRAE5C59A6AA55530</t>
  </si>
  <si>
    <t>ABSA BANK Khanyile Cameras 46E</t>
  </si>
  <si>
    <t>Thulani Khanyile</t>
  </si>
  <si>
    <t>46</t>
  </si>
  <si>
    <t>ABSA BANK philip 70 nel camera</t>
  </si>
  <si>
    <t>Philip Kruis</t>
  </si>
  <si>
    <t>70</t>
  </si>
  <si>
    <t>88 Nel Camera From 1053405588</t>
  </si>
  <si>
    <t>K Bland</t>
  </si>
  <si>
    <t>88</t>
  </si>
  <si>
    <t>E KEARTLAND CAMERA</t>
  </si>
  <si>
    <t>Evelyn Keartland</t>
  </si>
  <si>
    <t>91</t>
  </si>
  <si>
    <t>BLG108 CAMERA</t>
  </si>
  <si>
    <t>30/03/2026</t>
  </si>
  <si>
    <t>ABSA BANK John Potter Cameras</t>
  </si>
  <si>
    <t>John &amp; Karin Potter (Benches Direct)</t>
  </si>
  <si>
    <t>59</t>
  </si>
  <si>
    <t>39 Green road</t>
  </si>
  <si>
    <t>Belinda Groenewald</t>
  </si>
  <si>
    <t>39</t>
  </si>
  <si>
    <t>39 Green road Camera</t>
  </si>
  <si>
    <t>77 SHORT ROAD POTGIE</t>
  </si>
  <si>
    <t>Petrus Johannes Potgieter (Ronnie)</t>
  </si>
  <si>
    <t>Short Road</t>
  </si>
  <si>
    <t>77</t>
  </si>
  <si>
    <t>79 GOLF COURSE CA WRIGHT</t>
  </si>
  <si>
    <t>Carlo &amp; Shoneez Wright</t>
  </si>
  <si>
    <t>79</t>
  </si>
  <si>
    <t>31/03/2026</t>
  </si>
  <si>
    <t>01/04/2026</t>
  </si>
  <si>
    <t>Ndlovu:60 Fifth ST</t>
  </si>
  <si>
    <t>MATCHED</t>
  </si>
  <si>
    <t>MED</t>
  </si>
  <si>
    <t>Sonya Herbst</t>
  </si>
  <si>
    <t>Multiple plot matches: [229, 230, 231]</t>
  </si>
  <si>
    <t>02/04/2026</t>
  </si>
  <si>
    <t xml:space="preserve">Blignaut Street </t>
  </si>
  <si>
    <t>Resolved: John Carr, Blignaut, plot 11</t>
  </si>
  <si>
    <t>Sheldon Schostar</t>
  </si>
  <si>
    <t>Multiple plot matches: [242, 243, 244]</t>
  </si>
  <si>
    <t>M.THOMPSON,GREEN RD,CAMERAS</t>
  </si>
  <si>
    <t>M. Thompson, Green Rd — Camera</t>
  </si>
  <si>
    <t>04/04/2026</t>
  </si>
  <si>
    <t>EEU069 — Steven Groenewald, Eeufees, plot 69</t>
  </si>
  <si>
    <t>PayShapReceived J O'shea- Cameras</t>
  </si>
  <si>
    <t>Richard Shearer</t>
  </si>
  <si>
    <t>J O'Shea camera payment</t>
  </si>
  <si>
    <t>07/04/2026</t>
  </si>
  <si>
    <t>Resolved: Madelena De Vries, plot 148/1</t>
  </si>
  <si>
    <t>Resolved: Peter Kairuz, First Ave, plot 37</t>
  </si>
  <si>
    <t>08/04/2026</t>
  </si>
  <si>
    <t>Camera-40 2nd Ave.-R Shearer</t>
  </si>
  <si>
    <t>Bonfale Muchono</t>
  </si>
  <si>
    <t xml:space="preserve">De Wet Street </t>
  </si>
  <si>
    <t>Multiple plot matches: [121, 122, 123, 124, 125, 126, 127]</t>
  </si>
  <si>
    <t>09/04/2026</t>
  </si>
  <si>
    <t>J OWENS CAMERA GOLFC</t>
  </si>
  <si>
    <t>James Owens</t>
  </si>
  <si>
    <t>Single name match</t>
  </si>
  <si>
    <t>PLOT 42 BLG</t>
  </si>
  <si>
    <t>Greg and Paula Peters</t>
  </si>
  <si>
    <t>Multiple plot matches: [131, 132, 133, 134, 135, 136, 137, 138, 510]</t>
  </si>
  <si>
    <t>15/04/2026</t>
  </si>
  <si>
    <t>GOL087-EFT — Gareth van Jaarsveld</t>
  </si>
  <si>
    <t>18/04/2026</t>
  </si>
  <si>
    <t xml:space="preserve">Danie Theron </t>
  </si>
  <si>
    <t>Resolved: Terry Shapiro, plot 82 — Camera</t>
  </si>
  <si>
    <t>24/04/2026</t>
  </si>
  <si>
    <t>D/O ref BLG108 — Nazam, plot 108</t>
  </si>
  <si>
    <t>25/04/2026</t>
  </si>
  <si>
    <t>LEO CAMERA</t>
  </si>
  <si>
    <t>Leo van Niel</t>
  </si>
  <si>
    <t>BLG051 — Leo van Niel, Eloff, plot 51 — Camera</t>
  </si>
  <si>
    <t>D/O ref 2ND 042 — Robert, Second Ave, plot 42</t>
  </si>
  <si>
    <t>27/04/2026</t>
  </si>
  <si>
    <t>S.LONG CAMERA BLIGNA</t>
  </si>
  <si>
    <t>Ian Long</t>
  </si>
  <si>
    <t>S. Long — Camera, Blignaut</t>
  </si>
  <si>
    <t>28/04/2026</t>
  </si>
  <si>
    <t>Multiple plot matches: [85, 86, 87, 88, 89, 506]</t>
  </si>
  <si>
    <t>GOL085 — Previn Naidoo, Golf Course, plot 85</t>
  </si>
  <si>
    <t>74 NEL STREET</t>
  </si>
  <si>
    <t>Multiple plot matches: [291, 292, 293, 294]</t>
  </si>
  <si>
    <t xml:space="preserve">Road No 7 </t>
  </si>
  <si>
    <t>Plot match (no street keyword)</t>
  </si>
  <si>
    <t>29/04/2026</t>
  </si>
  <si>
    <t>Multiple plot matches: [411, 412]</t>
  </si>
  <si>
    <t>Jose Pinto</t>
  </si>
  <si>
    <t>Multiple plot matches: [116, 117, 118, 119, 120, 509]</t>
  </si>
  <si>
    <t>30/04/2026</t>
  </si>
  <si>
    <t>Dennis and Heather Ryder</t>
  </si>
  <si>
    <t>Multiple plot matches: [306, 307, 308]</t>
  </si>
  <si>
    <t>Tom Pearson</t>
  </si>
  <si>
    <t>Multiple plot matches: [105, 106, 107, 108, 109, 110, 111]</t>
  </si>
  <si>
    <t>02/05/2026</t>
  </si>
  <si>
    <t>04/05/2026</t>
  </si>
  <si>
    <t>05/05/2026</t>
  </si>
  <si>
    <t>07/05/2026</t>
  </si>
  <si>
    <t>08/05/2026</t>
  </si>
  <si>
    <t>54 nico pelser</t>
  </si>
  <si>
    <t>Richard and Pumla Mashele</t>
  </si>
  <si>
    <t>25/05/2026</t>
  </si>
  <si>
    <t>26/05/2026</t>
  </si>
  <si>
    <t>27/05/2026</t>
  </si>
  <si>
    <t>NIZAM-BLG108-36321-786</t>
  </si>
  <si>
    <t>28/05/2026</t>
  </si>
  <si>
    <t>PayShapReceived BUHLE - 54 CENTRE RD</t>
  </si>
  <si>
    <t>Buhle Mchunu</t>
  </si>
  <si>
    <t>Centre Road/cnr Orch</t>
  </si>
  <si>
    <t>29/05/2026</t>
  </si>
  <si>
    <t>plot 83 Nel street CAMERA</t>
  </si>
  <si>
    <t>NEL ST ANDREW CAMERA</t>
  </si>
  <si>
    <t>PLOT 94CAMERA 5</t>
  </si>
  <si>
    <t>30/05/2026</t>
  </si>
  <si>
    <t>BLGN15F</t>
  </si>
  <si>
    <t>BlgN15F (camera sponsor)</t>
  </si>
  <si>
    <t>–</t>
  </si>
  <si>
    <t>06/05/2026</t>
  </si>
  <si>
    <t>GERALDINE EVANS</t>
  </si>
  <si>
    <t>Unmatched</t>
  </si>
  <si>
    <t>UNMATCHED</t>
  </si>
  <si>
    <t>REVIEW</t>
  </si>
  <si>
    <t>Member not found in Comprehensive list</t>
  </si>
  <si>
    <t>ABSA BANK Joseph 98</t>
  </si>
  <si>
    <t>Partial match – Joseph and Gwendolene Segoto (row 434, Road No 7 plot 154) possible, but '98' unresolved. Refer to administrator.</t>
  </si>
  <si>
    <t>MCAA — BLIGNAUTSRUS NORTH COMMUNITY ASSOCIATION</t>
  </si>
  <si>
    <t>Financial &amp; Membership Dashboard  |  April 2026</t>
  </si>
  <si>
    <t>📋  NAVIGATE TO TABS</t>
  </si>
  <si>
    <t>Tab Name</t>
  </si>
  <si>
    <t>Description</t>
  </si>
  <si>
    <t>Comprehensive list</t>
  </si>
  <si>
    <t>Master member database — all 533 entries including owner/tenant details, plot numbers, street addresses, debit order refs, and 13 months of payment history.</t>
  </si>
  <si>
    <t>Bank Statement Mar-26</t>
  </si>
  <si>
    <t>Full April 2026 Capitec bank statement with every transaction categorised, matched to members, and flagged with confidence level.</t>
  </si>
  <si>
    <t>Reconciliation Mar-26</t>
  </si>
  <si>
    <t>Month-end reconciliation summary — money in vs. money out, opening/closing balances, and per-member EFT &amp; camera payment matching with differences.</t>
  </si>
  <si>
    <t>Expense Register</t>
  </si>
  <si>
    <t>Itemised list of all April 2026 outflows: salary, maintenance, camera purchase, utilities, bank fees, and reversals (R 36 792 total).</t>
  </si>
  <si>
    <t>Payment Summary</t>
  </si>
  <si>
    <t>Yearly membership payment overview — monthly collection totals (Apr 2025–Mar 2026), paying vs. non-paying member counts, and total revenue to date.</t>
  </si>
  <si>
    <t>Members Report</t>
  </si>
  <si>
    <t>Individual member payment detail report — total paid per member across the year, with non-payers highlighted in red.</t>
  </si>
  <si>
    <t>Matching Audit Log</t>
  </si>
  <si>
    <t>Full audit trail of every bank transaction matched to a member — method used (D/O batch, plot-street, name fuzzy), confidence level, and row reference.</t>
  </si>
  <si>
    <t>Street Captains</t>
  </si>
  <si>
    <t>Street captain directory — name, email, phone, and paying-member ratio per street (e.g. '4 of 8 paying on Blignaut Street').</t>
  </si>
  <si>
    <t>Blignautsrus North</t>
  </si>
  <si>
    <t>Plot-level master register for the Blignautsrus North area — owner/tenant, contacts, D/O reference, and full monthly payment columns.</t>
  </si>
  <si>
    <t>Operational notes — Mercantile debit order system login instructions, Capitec support number, and useful reference links.</t>
  </si>
  <si>
    <t>💰  MARCH 2026 FINANCIAL SNAPSHOT</t>
  </si>
  <si>
    <t>Money In (Mar)</t>
  </si>
  <si>
    <t>Money Out (Mar)</t>
  </si>
  <si>
    <t>Net (Mar)</t>
  </si>
  <si>
    <t>Closing Balance</t>
  </si>
  <si>
    <t>Recon Difference</t>
  </si>
  <si>
    <t>DO + EFT + Camera</t>
  </si>
  <si>
    <t>Salary, maint., cameras, fees</t>
  </si>
  <si>
    <t>In minus Out</t>
  </si>
  <si>
    <t>Actual per bank statement</t>
  </si>
  <si>
    <t>Calculated vs Actual</t>
  </si>
  <si>
    <t>📅  MONTHLY COLLECTIONS (Apr 2025 – Mar 2026)</t>
  </si>
  <si>
    <t>👥  MEMBERSHIP STATS</t>
  </si>
  <si>
    <t>Month</t>
  </si>
  <si>
    <t>Collected (R)</t>
  </si>
  <si>
    <t># Payers</t>
  </si>
  <si>
    <t>Avg / Payer (R)</t>
  </si>
  <si>
    <t>Metric</t>
  </si>
  <si>
    <t>Value</t>
  </si>
  <si>
    <t>Total Members on List</t>
  </si>
  <si>
    <t>Paying Members</t>
  </si>
  <si>
    <t>Non-Paying Members</t>
  </si>
  <si>
    <t>Payment Rate</t>
  </si>
  <si>
    <t>Unique Plot Numbers</t>
  </si>
  <si>
    <t>Plots w/ Multiple Entries</t>
  </si>
  <si>
    <t>Total Revenue (Year)</t>
  </si>
  <si>
    <t>Mar-26 (prev)</t>
  </si>
  <si>
    <t>Mar-26 ★</t>
  </si>
  <si>
    <t>TOTAL</t>
  </si>
  <si>
    <t>📄  MARCH 2026 EXPENSE BREAKDOWN</t>
  </si>
  <si>
    <t>🏥  STREET CAPTAINS — COLLECTION RATE</t>
  </si>
  <si>
    <t>Amount (R)</t>
  </si>
  <si>
    <t>% of Total</t>
  </si>
  <si>
    <t>Street</t>
  </si>
  <si>
    <t>Captain</t>
  </si>
  <si>
    <t>Paying</t>
  </si>
  <si>
    <t>of Total</t>
  </si>
  <si>
    <t>Rate</t>
  </si>
  <si>
    <t>(vacant)</t>
  </si>
  <si>
    <t>Richard Bentheim</t>
  </si>
  <si>
    <t>Rolf</t>
  </si>
  <si>
    <t>Thulani Timile</t>
  </si>
  <si>
    <t>Kevin</t>
  </si>
  <si>
    <t>Green/Angle Road</t>
  </si>
  <si>
    <t>Hugenote Street</t>
  </si>
  <si>
    <t>Cliff Webb</t>
  </si>
  <si>
    <t>Nico Pelser / 4th St.</t>
  </si>
  <si>
    <t>Paul Lottreaux</t>
  </si>
  <si>
    <t>Anton</t>
  </si>
  <si>
    <t>Third Ave.</t>
  </si>
  <si>
    <t>Chris Leeson</t>
  </si>
  <si>
    <t>Second Avenue</t>
  </si>
  <si>
    <t>Zama Hlongwane</t>
  </si>
  <si>
    <t>Voortrekker Street</t>
  </si>
  <si>
    <t>Road No 8</t>
  </si>
  <si>
    <t>Dashboard auto-updates from source tabs. Last prepared: April 2026  |  MCAA — Blignautsrus North Community Association</t>
  </si>
  <si>
    <t>Owner / Tenant</t>
  </si>
  <si>
    <t>D/O Ref</t>
  </si>
  <si>
    <t>Contact 1</t>
  </si>
  <si>
    <t>Contact 2</t>
  </si>
  <si>
    <t>Contact 3</t>
  </si>
  <si>
    <t>E-mail address</t>
  </si>
  <si>
    <t>Mar-25 DO</t>
  </si>
  <si>
    <t>Mar-25 EFT</t>
  </si>
  <si>
    <t>Apr-25 DO</t>
  </si>
  <si>
    <t>Apr-25 EFT</t>
  </si>
  <si>
    <t>May-25 DO</t>
  </si>
  <si>
    <t>May-25 EFT</t>
  </si>
  <si>
    <t>Jun-25 DO</t>
  </si>
  <si>
    <t>Jun-25 EFT</t>
  </si>
  <si>
    <t>Jul-25 DO</t>
  </si>
  <si>
    <t>Jul-25 EFT</t>
  </si>
  <si>
    <t>Aug-25 DO</t>
  </si>
  <si>
    <t>Aug-25 EFT</t>
  </si>
  <si>
    <t>Sep-25 DO</t>
  </si>
  <si>
    <t>Sep-25 EFT</t>
  </si>
  <si>
    <t>Oct-25 DO</t>
  </si>
  <si>
    <t>Oct-25 EFT</t>
  </si>
  <si>
    <t>Nov-25 DO</t>
  </si>
  <si>
    <t>Nov-25 EFT</t>
  </si>
  <si>
    <t>Dec-25 DO</t>
  </si>
  <si>
    <t>Dec-25 EFT</t>
  </si>
  <si>
    <t>Jan-26 DO</t>
  </si>
  <si>
    <t>Jan-26 EFT</t>
  </si>
  <si>
    <t>Feb-26 DO</t>
  </si>
  <si>
    <t>Feb-26 EFT</t>
  </si>
  <si>
    <t>Mar-26 DO</t>
  </si>
  <si>
    <t>Mar-26 EFT</t>
  </si>
  <si>
    <t>Apr-26 DO</t>
  </si>
  <si>
    <t>Apr-26 EFT</t>
  </si>
  <si>
    <t>May-26 DO</t>
  </si>
  <si>
    <t>May-26 EFT</t>
  </si>
  <si>
    <t>Comments</t>
  </si>
  <si>
    <t>Camera Payment</t>
  </si>
  <si>
    <t>Jason Batalides</t>
  </si>
  <si>
    <t xml:space="preserve">HZB038              </t>
  </si>
  <si>
    <t>082 557 1110</t>
  </si>
  <si>
    <t>0614960119</t>
  </si>
  <si>
    <t>Thom Khosa</t>
  </si>
  <si>
    <t>061 916 3908</t>
  </si>
  <si>
    <t>thom.khosa@yahoo.com</t>
  </si>
  <si>
    <t>S.Potgieter</t>
  </si>
  <si>
    <t>084 579 0242</t>
  </si>
  <si>
    <t>potgieter.steve@gmail.com</t>
  </si>
  <si>
    <t xml:space="preserve">Emmanual </t>
  </si>
  <si>
    <t>063 533 7777</t>
  </si>
  <si>
    <t>Sim Mdab</t>
  </si>
  <si>
    <t>Centre Road</t>
  </si>
  <si>
    <t>067 699 2598</t>
  </si>
  <si>
    <t>Thom Khosa?</t>
  </si>
  <si>
    <t>Graham and Alison Webster</t>
  </si>
  <si>
    <t xml:space="preserve">GLV 04              </t>
  </si>
  <si>
    <t>074 245 5446</t>
  </si>
  <si>
    <t>081 589 2689</t>
  </si>
  <si>
    <t>grahamw@mweb.co.za</t>
  </si>
  <si>
    <t>Rowan De Viliers</t>
  </si>
  <si>
    <t>084 626 2755</t>
  </si>
  <si>
    <t>Dom Jacob</t>
  </si>
  <si>
    <t>John</t>
  </si>
  <si>
    <t>083 729 6349</t>
  </si>
  <si>
    <t xml:space="preserve">Karen  </t>
  </si>
  <si>
    <t>083 575 4241</t>
  </si>
  <si>
    <t>Beverley Stevens-King</t>
  </si>
  <si>
    <t>068 150 0714</t>
  </si>
  <si>
    <t>-</t>
  </si>
  <si>
    <t>Phumzile Bango</t>
  </si>
  <si>
    <t>073 221 5934</t>
  </si>
  <si>
    <t>phumzile.bango81@gmail.com</t>
  </si>
  <si>
    <t>Nkosana Ngobese</t>
  </si>
  <si>
    <t>083 696 9618</t>
  </si>
  <si>
    <t>Sefore Pitso-Setere</t>
  </si>
  <si>
    <t>076 766 6111</t>
  </si>
  <si>
    <t>pitsosetere@yahoo.com</t>
  </si>
  <si>
    <t>Jonathan</t>
  </si>
  <si>
    <t>Main Street</t>
  </si>
  <si>
    <t>064 507 3761</t>
  </si>
  <si>
    <t>jonathan@614.gmail.com</t>
  </si>
  <si>
    <t>VACANT</t>
  </si>
  <si>
    <t>Matthew</t>
  </si>
  <si>
    <t>062 896 7659</t>
  </si>
  <si>
    <t>Eugene</t>
  </si>
  <si>
    <t>076 440 9248</t>
  </si>
  <si>
    <t>Desire (Girls on the Move)</t>
  </si>
  <si>
    <t>011 490 0993</t>
  </si>
  <si>
    <t>desire@girlsonthemove.co.za</t>
  </si>
  <si>
    <t>Sibosisu Kheswa</t>
  </si>
  <si>
    <t>078 253 3008</t>
  </si>
  <si>
    <t>Robin Dryburgh</t>
  </si>
  <si>
    <t>ANNUAL EFT</t>
  </si>
  <si>
    <t>072 646 0512</t>
  </si>
  <si>
    <t>076 442 0330</t>
  </si>
  <si>
    <t>robin@quosano.co.za</t>
  </si>
  <si>
    <t>SIGNED - ANNUAL PAYMENT Aug25</t>
  </si>
  <si>
    <t>082 452 1439</t>
  </si>
  <si>
    <t>rupius@easywebmail.co.za</t>
  </si>
  <si>
    <t>Cameras</t>
  </si>
  <si>
    <t xml:space="preserve">BLG010              </t>
  </si>
  <si>
    <t>072 157 9623</t>
  </si>
  <si>
    <t>081 016 2982</t>
  </si>
  <si>
    <t>heinrichhendrikz@gmail.com</t>
  </si>
  <si>
    <t>Jabulusile Shandu</t>
  </si>
  <si>
    <t>EFT</t>
  </si>
  <si>
    <t>083 302 0463</t>
  </si>
  <si>
    <t>bavvmilesshandu@gmail.com</t>
  </si>
  <si>
    <t>Byron Canham</t>
  </si>
  <si>
    <t>078 610 8996</t>
  </si>
  <si>
    <t>byroncanham67@gmail.com</t>
  </si>
  <si>
    <t>Adams</t>
  </si>
  <si>
    <t>072 908 9502</t>
  </si>
  <si>
    <t>Nkosinomusa Mpanza</t>
  </si>
  <si>
    <t>083 775 1997</t>
  </si>
  <si>
    <t>nkosinomusa.mpanza@gmail.com</t>
  </si>
  <si>
    <t>Russell Warden</t>
  </si>
  <si>
    <t>072 264 1626</t>
  </si>
  <si>
    <t>russel@basixgroup.co.za</t>
  </si>
  <si>
    <t>Millicent</t>
  </si>
  <si>
    <t>060 335 7342</t>
  </si>
  <si>
    <t>milly.makoti@yahoo.co.za</t>
  </si>
  <si>
    <t>Tshepo Makoti</t>
  </si>
  <si>
    <t>083 490 2586</t>
  </si>
  <si>
    <t>Jessica</t>
  </si>
  <si>
    <t>083 764 1855</t>
  </si>
  <si>
    <t>sechabadaycare@gmail.com</t>
  </si>
  <si>
    <t>Lele Pedroncelli</t>
  </si>
  <si>
    <t>083 286 1327</t>
  </si>
  <si>
    <t>Fanie</t>
  </si>
  <si>
    <t>063 088 3257</t>
  </si>
  <si>
    <t>fanie@kieda.co.za</t>
  </si>
  <si>
    <t>Colin Blandford</t>
  </si>
  <si>
    <t xml:space="preserve">BLG14               </t>
  </si>
  <si>
    <t>Patrick Mudhara</t>
  </si>
  <si>
    <t>071 550 2414</t>
  </si>
  <si>
    <t>patrickmudhara@gmailcom</t>
  </si>
  <si>
    <t>Thami Ndlovu</t>
  </si>
  <si>
    <t>076 030 1191</t>
  </si>
  <si>
    <t>thamie.fiat.alfa@gmail.com</t>
  </si>
  <si>
    <t>Conrad</t>
  </si>
  <si>
    <t>079 401 4231</t>
  </si>
  <si>
    <t>Ncedo Vilakazi</t>
  </si>
  <si>
    <t>079 707 1993</t>
  </si>
  <si>
    <t>vncedo@gmail.com</t>
  </si>
  <si>
    <t>Maureen Mhlongo</t>
  </si>
  <si>
    <t xml:space="preserve">GLV016              </t>
  </si>
  <si>
    <t>083 442 0418</t>
  </si>
  <si>
    <t>mawehmlongo@gmail.co.za</t>
  </si>
  <si>
    <t>Jeremy</t>
  </si>
  <si>
    <t>076 125 5523</t>
  </si>
  <si>
    <t>Karel</t>
  </si>
  <si>
    <t>082 308 1525</t>
  </si>
  <si>
    <t>karel@kfb.co.za</t>
  </si>
  <si>
    <t xml:space="preserve">GLV019              </t>
  </si>
  <si>
    <t>083 444 6562</t>
  </si>
  <si>
    <t>pieter@pfsourcing.co.za</t>
  </si>
  <si>
    <t>Stephanie Fourie</t>
  </si>
  <si>
    <t>082 954 6078</t>
  </si>
  <si>
    <t>Andrew &amp; Robyn Weeks</t>
  </si>
  <si>
    <t xml:space="preserve">GLV020              </t>
  </si>
  <si>
    <t>083 657 0409</t>
  </si>
  <si>
    <t>082 672 8198</t>
  </si>
  <si>
    <t>Lune Weeks</t>
  </si>
  <si>
    <t>061 468 3671</t>
  </si>
  <si>
    <t>Angel Motloi</t>
  </si>
  <si>
    <t>072 460 0685</t>
  </si>
  <si>
    <t>motloiangie@gmail.com</t>
  </si>
  <si>
    <t>Minnie</t>
  </si>
  <si>
    <t>082 796 7074</t>
  </si>
  <si>
    <t>tinus@kwn.co.za</t>
  </si>
  <si>
    <t>E Nesbitt</t>
  </si>
  <si>
    <t>082 495 2879</t>
  </si>
  <si>
    <t>Abrahams</t>
  </si>
  <si>
    <t>082 643 0501</t>
  </si>
  <si>
    <t>Mariola Otomanska</t>
  </si>
  <si>
    <t>084 580 2849</t>
  </si>
  <si>
    <t>Brian</t>
  </si>
  <si>
    <t>082 460 2556</t>
  </si>
  <si>
    <t>Selway</t>
  </si>
  <si>
    <t>072 414 0513</t>
  </si>
  <si>
    <t>Rene</t>
  </si>
  <si>
    <t>079 771 2258</t>
  </si>
  <si>
    <t>ren-ab@hotmail.com</t>
  </si>
  <si>
    <t>Faith</t>
  </si>
  <si>
    <t>083 382 0678</t>
  </si>
  <si>
    <t>faith@tlc.org.za</t>
  </si>
  <si>
    <t>David Sibanda</t>
  </si>
  <si>
    <t>072 971 2467</t>
  </si>
  <si>
    <t>Sandile Mbanjwa</t>
  </si>
  <si>
    <t>Annual payment 16/01/26</t>
  </si>
  <si>
    <t>Thembani Furumele</t>
  </si>
  <si>
    <t>072 462 1924</t>
  </si>
  <si>
    <t>thembanifurumele@gmail.com</t>
  </si>
  <si>
    <t>Annual EFT pd Jul24</t>
  </si>
  <si>
    <t>Quintus</t>
  </si>
  <si>
    <t>073 180 7977</t>
  </si>
  <si>
    <t>tujays@net1.co.za</t>
  </si>
  <si>
    <t>Leon Janse Van Vuuren</t>
  </si>
  <si>
    <t>082 507 8339</t>
  </si>
  <si>
    <t>K. Aboobaker</t>
  </si>
  <si>
    <t>081 385 5048</t>
  </si>
  <si>
    <t>mentorconch11@gmail.com</t>
  </si>
  <si>
    <t>Caid Schoeman</t>
  </si>
  <si>
    <t>072 916 8323</t>
  </si>
  <si>
    <t>caidschoeman14@gmail.com</t>
  </si>
  <si>
    <t>Terence Du Preeze</t>
  </si>
  <si>
    <t>084 680 4046</t>
  </si>
  <si>
    <t>Kelvin Grobler</t>
  </si>
  <si>
    <t>082 589 8243</t>
  </si>
  <si>
    <t>Alan &amp; Louise Proudfoot</t>
  </si>
  <si>
    <t xml:space="preserve">GLV025              </t>
  </si>
  <si>
    <t>083 653 3005</t>
  </si>
  <si>
    <t>083 776 1314</t>
  </si>
  <si>
    <t>alan.c.proudfoot@gmail.com</t>
  </si>
  <si>
    <t>Angela Proudfoot</t>
  </si>
  <si>
    <t>Alex Klein</t>
  </si>
  <si>
    <t>081 040 0911</t>
  </si>
  <si>
    <t>May Lyna/ Judith</t>
  </si>
  <si>
    <t>1ST025</t>
  </si>
  <si>
    <t>082 785 7572</t>
  </si>
  <si>
    <t>lyna.v.may@gmail.com</t>
  </si>
  <si>
    <t>Mar26 no funds</t>
  </si>
  <si>
    <t>Chevis Coetzee</t>
  </si>
  <si>
    <t>Voortrekker St.</t>
  </si>
  <si>
    <t>084 458 5351</t>
  </si>
  <si>
    <t>cheviscoetzee@gmail.com</t>
  </si>
  <si>
    <t>Derek</t>
  </si>
  <si>
    <t>079 244 2391</t>
  </si>
  <si>
    <t>Sonia Meysel</t>
  </si>
  <si>
    <t>073 772 1632</t>
  </si>
  <si>
    <t>Nina van der Walt</t>
  </si>
  <si>
    <t>064 019 2704</t>
  </si>
  <si>
    <t>Glenda</t>
  </si>
  <si>
    <t>082 558 8042</t>
  </si>
  <si>
    <t>wendy@yoursoulpuzzle.co.za</t>
  </si>
  <si>
    <t>Ralf Meysel</t>
  </si>
  <si>
    <t>Riaan</t>
  </si>
  <si>
    <t>082 498 2381</t>
  </si>
  <si>
    <t>riaanlouw59@gmail.com</t>
  </si>
  <si>
    <t>Vusi &amp; Lebogang Mojapelo</t>
  </si>
  <si>
    <t>078 838 7331</t>
  </si>
  <si>
    <t>073 003 3996</t>
  </si>
  <si>
    <t>lebogangmjp@gmail.com</t>
  </si>
  <si>
    <t>NEW MEMBER TO PAY EFT</t>
  </si>
  <si>
    <t>Philip</t>
  </si>
  <si>
    <t>083 519 4757</t>
  </si>
  <si>
    <t>Tshepang Mpitse</t>
  </si>
  <si>
    <t>076 358 2596</t>
  </si>
  <si>
    <t>tshepangmpitse@gmail.com</t>
  </si>
  <si>
    <t>Clint Jardine</t>
  </si>
  <si>
    <t>083 229 8886</t>
  </si>
  <si>
    <t>cjardine@joburgmarket.co.za</t>
  </si>
  <si>
    <t>Erika</t>
  </si>
  <si>
    <t>084 045 8453</t>
  </si>
  <si>
    <t>065 816 5033</t>
  </si>
  <si>
    <t>071 246 4529</t>
  </si>
  <si>
    <t>candice1979@gmail.com</t>
  </si>
  <si>
    <t>Annushka Rooza</t>
  </si>
  <si>
    <t>084 997 8828</t>
  </si>
  <si>
    <t>annushkarooza@gmail.com</t>
  </si>
  <si>
    <t>Rochelle Campbell</t>
  </si>
  <si>
    <t>2ND030</t>
  </si>
  <si>
    <t>072 077 9174</t>
  </si>
  <si>
    <t>Shannon Davids</t>
  </si>
  <si>
    <t>083 319 7058</t>
  </si>
  <si>
    <t>shannondavids8@gmail.com</t>
  </si>
  <si>
    <t>Neil Johnson</t>
  </si>
  <si>
    <t>076 422 6557</t>
  </si>
  <si>
    <t>Frank Duvenhage</t>
  </si>
  <si>
    <t>073 151 5771</t>
  </si>
  <si>
    <t>duvenhagefrank3@gmail.com</t>
  </si>
  <si>
    <t xml:space="preserve">Fred </t>
  </si>
  <si>
    <t>084 556 2207</t>
  </si>
  <si>
    <t>John Hall</t>
  </si>
  <si>
    <t>082 391 5145</t>
  </si>
  <si>
    <t>Haydrine Waveley</t>
  </si>
  <si>
    <t>083 246 8714</t>
  </si>
  <si>
    <t>haydrine.waveley@santam.co.za</t>
  </si>
  <si>
    <t>Khanyisile Kama</t>
  </si>
  <si>
    <t>081 300 2739</t>
  </si>
  <si>
    <t>khanyisilengwenya007@gmail.com</t>
  </si>
  <si>
    <t>Mel Nkosi</t>
  </si>
  <si>
    <t>GOL032</t>
  </si>
  <si>
    <t>071 427 2371</t>
  </si>
  <si>
    <t>melnkosi72@gmail.com</t>
  </si>
  <si>
    <t>SIGNED - NEW MEMBER MAR26</t>
  </si>
  <si>
    <t>Hugh and Charmaine Draai</t>
  </si>
  <si>
    <t>Fourth Street</t>
  </si>
  <si>
    <t xml:space="preserve">WLK033              </t>
  </si>
  <si>
    <t>082 296 9741</t>
  </si>
  <si>
    <t>charmaindraai1@gmail.com</t>
  </si>
  <si>
    <t>Kim Baker</t>
  </si>
  <si>
    <t>083 321 4109</t>
  </si>
  <si>
    <t>kimbaker43@gmail.com</t>
  </si>
  <si>
    <t>Thembisile Mazibuko</t>
  </si>
  <si>
    <t>073 460 4665</t>
  </si>
  <si>
    <t>themsileq@gmail.com</t>
  </si>
  <si>
    <t>Lendl Preston</t>
  </si>
  <si>
    <t>072 862 0652</t>
  </si>
  <si>
    <t>lendlpreston@yahoo.com</t>
  </si>
  <si>
    <t>Anthony &amp; Cameron Cox</t>
  </si>
  <si>
    <t>078 298 0061</t>
  </si>
  <si>
    <t>067 135 8156</t>
  </si>
  <si>
    <t>cameron.edgesports@gmail.com</t>
  </si>
  <si>
    <t>Justice &amp; Nozipho Makhado</t>
  </si>
  <si>
    <t>ELO036</t>
  </si>
  <si>
    <t>084 901 7369</t>
  </si>
  <si>
    <t>083 378 9596</t>
  </si>
  <si>
    <t>tshimangadzo26@gmail.com</t>
  </si>
  <si>
    <t>New member - DO from 1 March 26</t>
  </si>
  <si>
    <t>Godfrey Berry</t>
  </si>
  <si>
    <t>082 358 0776</t>
  </si>
  <si>
    <t>067 611 2809</t>
  </si>
  <si>
    <t>Msibi</t>
  </si>
  <si>
    <t>081 009 0096</t>
  </si>
  <si>
    <t>Palesa</t>
  </si>
  <si>
    <t>072 974 7626</t>
  </si>
  <si>
    <t>p.masinga@gmail.com</t>
  </si>
  <si>
    <t>072 277 7???</t>
  </si>
  <si>
    <t>083 226 3032</t>
  </si>
  <si>
    <t>sabbath.pk@gmail.com</t>
  </si>
  <si>
    <t>David</t>
  </si>
  <si>
    <t>073 220 8027</t>
  </si>
  <si>
    <t>Tanya</t>
  </si>
  <si>
    <t>083 669 2985</t>
  </si>
  <si>
    <t>083 260 9080</t>
  </si>
  <si>
    <t>markthompson.mt941@gmail.com</t>
  </si>
  <si>
    <t>Kuwut Herbst</t>
  </si>
  <si>
    <t>072 369 7205</t>
  </si>
  <si>
    <t>AF Campbell</t>
  </si>
  <si>
    <t>9th Street</t>
  </si>
  <si>
    <t>076 180 0671</t>
  </si>
  <si>
    <t>campie.campbell@gmail.com</t>
  </si>
  <si>
    <t xml:space="preserve">ELO038              </t>
  </si>
  <si>
    <t>082 802 7749</t>
  </si>
  <si>
    <t>081 319 1729</t>
  </si>
  <si>
    <t>Leticia &amp; Bennie Mommen</t>
  </si>
  <si>
    <t>083 781 0530</t>
  </si>
  <si>
    <t>ihefer1977@gmail.com</t>
  </si>
  <si>
    <t>Irshaad / Ayesha</t>
  </si>
  <si>
    <t>079 547 5428</t>
  </si>
  <si>
    <t>ayesha-subs-786@yahoo.com</t>
  </si>
  <si>
    <t>Stone Hedge</t>
  </si>
  <si>
    <t>082 824 1803</t>
  </si>
  <si>
    <t xml:space="preserve">BLG039              </t>
  </si>
  <si>
    <t>082 490 9235</t>
  </si>
  <si>
    <t>Hischiff Groenewald</t>
  </si>
  <si>
    <t>076 641 6479</t>
  </si>
  <si>
    <t>Steven Pretorius</t>
  </si>
  <si>
    <t>072 794 4702</t>
  </si>
  <si>
    <t>stevenpretorius02@gmail.com</t>
  </si>
  <si>
    <t>Sisa Majilajela</t>
  </si>
  <si>
    <t>081 454 6231</t>
  </si>
  <si>
    <t>063 539 8947</t>
  </si>
  <si>
    <t>Billy Meysel</t>
  </si>
  <si>
    <t>076 814 7764</t>
  </si>
  <si>
    <t>B Meysel</t>
  </si>
  <si>
    <t>073 831 6424</t>
  </si>
  <si>
    <t>Ian Yellowley</t>
  </si>
  <si>
    <t xml:space="preserve">GLV040              </t>
  </si>
  <si>
    <t>083 449 2641</t>
  </si>
  <si>
    <t>T Magua</t>
  </si>
  <si>
    <t>083 979 0403</t>
  </si>
  <si>
    <t xml:space="preserve">2ND040              </t>
  </si>
  <si>
    <t>Susan Shearer</t>
  </si>
  <si>
    <t>084 775 8170</t>
  </si>
  <si>
    <t>susan@sheaerer.co.za</t>
  </si>
  <si>
    <t>082 332 7415</t>
  </si>
  <si>
    <t>juanita@glitzzibizz.co.za</t>
  </si>
  <si>
    <t>Jimmy</t>
  </si>
  <si>
    <t>084 026 5023</t>
  </si>
  <si>
    <t>jimmygama2@gmail.com</t>
  </si>
  <si>
    <t>Laurie Boycan Hoffman</t>
  </si>
  <si>
    <t xml:space="preserve">GLV041              </t>
  </si>
  <si>
    <t>082 387 9730</t>
  </si>
  <si>
    <t>ELO042</t>
  </si>
  <si>
    <t>082 382 2195</t>
  </si>
  <si>
    <t>082 382 1941</t>
  </si>
  <si>
    <t>M September</t>
  </si>
  <si>
    <t>Pastor B</t>
  </si>
  <si>
    <t>083 788 2439</t>
  </si>
  <si>
    <t>Dirk Louw</t>
  </si>
  <si>
    <t>061 083 5029</t>
  </si>
  <si>
    <t>Rob Roos</t>
  </si>
  <si>
    <t>079 758 5385</t>
  </si>
  <si>
    <t>082 467 2971</t>
  </si>
  <si>
    <t>Celeste Webster</t>
  </si>
  <si>
    <t>063 462 3595</t>
  </si>
  <si>
    <t>Greg Erasmus</t>
  </si>
  <si>
    <t>083 255 5380</t>
  </si>
  <si>
    <t>robr180rr@gmail.com</t>
  </si>
  <si>
    <t>Eddy Strauss</t>
  </si>
  <si>
    <t>066 103 9060</t>
  </si>
  <si>
    <t>1ST043</t>
  </si>
  <si>
    <t>079 501 6808</t>
  </si>
  <si>
    <t>trautshaun@gmail.com</t>
  </si>
  <si>
    <t>Jade</t>
  </si>
  <si>
    <t>071 471 9158</t>
  </si>
  <si>
    <t>jadeytrt123@gmail.com</t>
  </si>
  <si>
    <t>Nathan Cooks</t>
  </si>
  <si>
    <t xml:space="preserve">BLG044              </t>
  </si>
  <si>
    <t>081 465 2051</t>
  </si>
  <si>
    <t>083 213 0098</t>
  </si>
  <si>
    <t>Cayden Le Roux</t>
  </si>
  <si>
    <t>071 385 4154</t>
  </si>
  <si>
    <t>083 560 8062</t>
  </si>
  <si>
    <t>caydenleroux@gmail.com</t>
  </si>
  <si>
    <t>083 736 4676</t>
  </si>
  <si>
    <t>mpho.thanjekwayo@gmail.com</t>
  </si>
  <si>
    <t>Mrs. J de Lange</t>
  </si>
  <si>
    <t>082 900 1802</t>
  </si>
  <si>
    <t xml:space="preserve">HAR046              </t>
  </si>
  <si>
    <t>081 041 7810</t>
  </si>
  <si>
    <t>Khanyile Busisiwe</t>
  </si>
  <si>
    <t>083 792 5850</t>
  </si>
  <si>
    <t>Sean Dauberman</t>
  </si>
  <si>
    <t>078 434 9933</t>
  </si>
  <si>
    <t>glynis@ammogroup.co.za</t>
  </si>
  <si>
    <t>Glynis Louw</t>
  </si>
  <si>
    <t>081 273 1613</t>
  </si>
  <si>
    <t>071 538 8996</t>
  </si>
  <si>
    <t>John Louw</t>
  </si>
  <si>
    <t>081 494 8648</t>
  </si>
  <si>
    <t>Estelle Gouws</t>
  </si>
  <si>
    <t>074 629 9862</t>
  </si>
  <si>
    <t>Rassie and Bella</t>
  </si>
  <si>
    <t>081 592 5349</t>
  </si>
  <si>
    <t>Gordon Kairuz and Nicole Gouws</t>
  </si>
  <si>
    <t>084 899 5071</t>
  </si>
  <si>
    <t>Bev Prins</t>
  </si>
  <si>
    <t>074 023 4986</t>
  </si>
  <si>
    <t>bevprins@gmail.com</t>
  </si>
  <si>
    <t>Lidia Bukes</t>
  </si>
  <si>
    <t xml:space="preserve">ELO047              </t>
  </si>
  <si>
    <t>Mervin Smit</t>
  </si>
  <si>
    <t>083 385 9063</t>
  </si>
  <si>
    <t>Lindie Plaatjies</t>
  </si>
  <si>
    <t>081 541 3218</t>
  </si>
  <si>
    <t>lindielplaatjies@gmail.com</t>
  </si>
  <si>
    <t>Raymond Poonen</t>
  </si>
  <si>
    <t>081 447 9826</t>
  </si>
  <si>
    <t>glendapoonen@gmail.com</t>
  </si>
  <si>
    <t>Mrs DE Hahn</t>
  </si>
  <si>
    <t>065 837 8238</t>
  </si>
  <si>
    <t>salmaanhahn@gmail.com</t>
  </si>
  <si>
    <t>Victor Petrus</t>
  </si>
  <si>
    <t>067 033 7735</t>
  </si>
  <si>
    <t>vpetrus63@gmail.com</t>
  </si>
  <si>
    <t>Sasha Holland</t>
  </si>
  <si>
    <t>083 229 5470</t>
  </si>
  <si>
    <t>Pearl Holland</t>
  </si>
  <si>
    <t>083 282 5141</t>
  </si>
  <si>
    <t>Stella Nemafukani</t>
  </si>
  <si>
    <t>072 262 9685</t>
  </si>
  <si>
    <t>nemafukanistella@gmail.com</t>
  </si>
  <si>
    <t>Khumalo Stuart</t>
  </si>
  <si>
    <t>081 517 3354</t>
  </si>
  <si>
    <t>Katelyn</t>
  </si>
  <si>
    <t>082 932 7791</t>
  </si>
  <si>
    <t>Forsman</t>
  </si>
  <si>
    <t>073 381 5595</t>
  </si>
  <si>
    <t>L Turner</t>
  </si>
  <si>
    <t>083 541 1534</t>
  </si>
  <si>
    <t>turner560@gmail.com</t>
  </si>
  <si>
    <t>Perfect Zama Ndlovu (Security)</t>
  </si>
  <si>
    <t>061 042 3765</t>
  </si>
  <si>
    <t>David Lewis</t>
  </si>
  <si>
    <t>Makhotso</t>
  </si>
  <si>
    <t>072 277 9507</t>
  </si>
  <si>
    <t>Ratheo Molebatsi</t>
  </si>
  <si>
    <t>1ST049</t>
  </si>
  <si>
    <t>Bruce Magill</t>
  </si>
  <si>
    <t>FST049</t>
  </si>
  <si>
    <t>065 569 9488</t>
  </si>
  <si>
    <t>grumpymagill@gmail.com</t>
  </si>
  <si>
    <t>Louis Mathew</t>
  </si>
  <si>
    <t>074 863 3132</t>
  </si>
  <si>
    <t>louismathew2002@yahoo.com</t>
  </si>
  <si>
    <t>Church</t>
  </si>
  <si>
    <t>Romias Ngzularto</t>
  </si>
  <si>
    <t>074 822 6361</t>
  </si>
  <si>
    <t>Katlego Matthews</t>
  </si>
  <si>
    <t>061 356 1269</t>
  </si>
  <si>
    <t>Silvan</t>
  </si>
  <si>
    <t>083 388 8807</t>
  </si>
  <si>
    <t>Chris and Bernadette Momple</t>
  </si>
  <si>
    <t>083 288 9426</t>
  </si>
  <si>
    <t>082 603 1916</t>
  </si>
  <si>
    <t>083 637 0729</t>
  </si>
  <si>
    <t>chris@qosconsulting.co.za</t>
  </si>
  <si>
    <t xml:space="preserve">Annual EFT @R170x12 6/2/26 </t>
  </si>
  <si>
    <t>Caleb Daniels</t>
  </si>
  <si>
    <t>067 608 0813</t>
  </si>
  <si>
    <t>073 968 8919</t>
  </si>
  <si>
    <t>yolundied@gmail.com</t>
  </si>
  <si>
    <t>Yolundie Danies</t>
  </si>
  <si>
    <t>083 453 1993</t>
  </si>
  <si>
    <t>Sarita</t>
  </si>
  <si>
    <t>076 612 2898</t>
  </si>
  <si>
    <t>saritav@gmail.com</t>
  </si>
  <si>
    <t>BLG051</t>
  </si>
  <si>
    <t>082 447 7002</t>
  </si>
  <si>
    <t>Janos Herceg</t>
  </si>
  <si>
    <t xml:space="preserve">GOL051              </t>
  </si>
  <si>
    <t>084 626 6352</t>
  </si>
  <si>
    <t>K.L Due Preez</t>
  </si>
  <si>
    <t>082 352 9776</t>
  </si>
  <si>
    <t>Options (Pty)Ltd</t>
  </si>
  <si>
    <t xml:space="preserve">Daphne Pereira </t>
  </si>
  <si>
    <t>083 266 8468</t>
  </si>
  <si>
    <t>Jorge Perreira</t>
  </si>
  <si>
    <t>083 460 4785</t>
  </si>
  <si>
    <t>Stephenie Herceg</t>
  </si>
  <si>
    <t>084 011 3915</t>
  </si>
  <si>
    <t>KM Makhubo</t>
  </si>
  <si>
    <t>073 066 9070</t>
  </si>
  <si>
    <t>makkosonkemakhubo74@gmail.com</t>
  </si>
  <si>
    <t>Sylvia</t>
  </si>
  <si>
    <t>065 087 6979</t>
  </si>
  <si>
    <t>Brandon Koegelenberg</t>
  </si>
  <si>
    <t>071 495 2879</t>
  </si>
  <si>
    <t>Angelo Pereira</t>
  </si>
  <si>
    <t>083 266 8425</t>
  </si>
  <si>
    <t>Tino Windhill</t>
  </si>
  <si>
    <t>065 311 3595</t>
  </si>
  <si>
    <t>C Windhill</t>
  </si>
  <si>
    <t>078 036 4540</t>
  </si>
  <si>
    <t>Empty plot? - still building</t>
  </si>
  <si>
    <t>DF Bukes (Niel)</t>
  </si>
  <si>
    <t xml:space="preserve">ELO047/53           </t>
  </si>
  <si>
    <t>082 568 003?</t>
  </si>
  <si>
    <t>lnbukes@yahoo.com</t>
  </si>
  <si>
    <t>China</t>
  </si>
  <si>
    <t>081 785 0818</t>
  </si>
  <si>
    <t>Eschelle Wathen</t>
  </si>
  <si>
    <t>5TH053</t>
  </si>
  <si>
    <t>076 564 1230</t>
  </si>
  <si>
    <t>ottieli92@gmail.com</t>
  </si>
  <si>
    <t xml:space="preserve">Martin Gee </t>
  </si>
  <si>
    <t>083 765 7104</t>
  </si>
  <si>
    <t>errasters@gmail.com</t>
  </si>
  <si>
    <t>Kevin Gee</t>
  </si>
  <si>
    <t>061 498 8399</t>
  </si>
  <si>
    <t>Chris Swanepoel</t>
  </si>
  <si>
    <t>083 442 2485</t>
  </si>
  <si>
    <t>swanepoel.chris@ouhook.com</t>
  </si>
  <si>
    <t>Tashinga/Millicent Nkosi</t>
  </si>
  <si>
    <t>079 290 5249</t>
  </si>
  <si>
    <t>072 265 3851</t>
  </si>
  <si>
    <t>mudzikatnisi@gmail.com</t>
  </si>
  <si>
    <t>Buhle Mbatha</t>
  </si>
  <si>
    <t>074 838 3136</t>
  </si>
  <si>
    <t>081 386 3892</t>
  </si>
  <si>
    <t>081 759 0959</t>
  </si>
  <si>
    <t>richardmashele1@gmail.com</t>
  </si>
  <si>
    <t>SIGNED - Pd R900 @ R170pm 11 Feb 26</t>
  </si>
  <si>
    <t>Johan Swanepoel</t>
  </si>
  <si>
    <t>083 263 2160</t>
  </si>
  <si>
    <t>johan@fivearenas.com</t>
  </si>
  <si>
    <t>Zainub</t>
  </si>
  <si>
    <t>082 313 5327</t>
  </si>
  <si>
    <t>Zainab Khoele</t>
  </si>
  <si>
    <t>079 872 5196</t>
  </si>
  <si>
    <t>Banele Mahlangu</t>
  </si>
  <si>
    <t>074 919 4758</t>
  </si>
  <si>
    <t>Kagiso Mahlangu</t>
  </si>
  <si>
    <t>074 606 4019</t>
  </si>
  <si>
    <t xml:space="preserve">Keketso Mahlangu </t>
  </si>
  <si>
    <t>Ramakhunou Mokhele</t>
  </si>
  <si>
    <t xml:space="preserve">GOL056              </t>
  </si>
  <si>
    <t>Homi</t>
  </si>
  <si>
    <t>082 448 5380</t>
  </si>
  <si>
    <t>hnyakele@mweb.co.za</t>
  </si>
  <si>
    <t>Khothatso Mokhele</t>
  </si>
  <si>
    <t>083 292 9555</t>
  </si>
  <si>
    <t>kmokhele@mweb.co.za</t>
  </si>
  <si>
    <t>Lauren &amp; Tiyani</t>
  </si>
  <si>
    <t>078 143 6952</t>
  </si>
  <si>
    <t>tiyysm@yahoo.com</t>
  </si>
  <si>
    <t>Bacon Mahope</t>
  </si>
  <si>
    <t>062 679 9319</t>
  </si>
  <si>
    <t>082 548 2687</t>
  </si>
  <si>
    <t>ewarts.malope@gmail.com</t>
  </si>
  <si>
    <t>071 349 3325</t>
  </si>
  <si>
    <t>loreleicerquira@gmail.com</t>
  </si>
  <si>
    <t>M Msimango</t>
  </si>
  <si>
    <t>073 322 9322</t>
  </si>
  <si>
    <t>Hunters Fitment(Pty) Ltd.</t>
  </si>
  <si>
    <t>Bongani Baloyi</t>
  </si>
  <si>
    <t>076 941 7588</t>
  </si>
  <si>
    <t>Lungelo Sibelo</t>
  </si>
  <si>
    <t>060 798 5790</t>
  </si>
  <si>
    <t>NIC058</t>
  </si>
  <si>
    <t>060 525 1935</t>
  </si>
  <si>
    <t>082 657 5355</t>
  </si>
  <si>
    <t>nozisibeko35@gmail.com</t>
  </si>
  <si>
    <t xml:space="preserve">ELO059              </t>
  </si>
  <si>
    <t>083 236 5745</t>
  </si>
  <si>
    <t>084 592 8575</t>
  </si>
  <si>
    <t>john@benchesdirect.co.za</t>
  </si>
  <si>
    <t>Cindy Wills</t>
  </si>
  <si>
    <t xml:space="preserve">BLI008              </t>
  </si>
  <si>
    <t>082 709 2709</t>
  </si>
  <si>
    <t>Rebecca Goncalves</t>
  </si>
  <si>
    <t>rebeccagrace b@gmail.com</t>
  </si>
  <si>
    <t>Allison</t>
  </si>
  <si>
    <t>062 732 1912</t>
  </si>
  <si>
    <t>Stacey Ireland</t>
  </si>
  <si>
    <t>GLV059</t>
  </si>
  <si>
    <t>062 752 3598</t>
  </si>
  <si>
    <t>staceyclaireireland@gmail.com</t>
  </si>
  <si>
    <t>SIGNED - NEW MEMBER - DO WEF 22/3</t>
  </si>
  <si>
    <t>Gareth</t>
  </si>
  <si>
    <t>081 375 9719</t>
  </si>
  <si>
    <t>sonyaherbst66@gmail.com</t>
  </si>
  <si>
    <t>083 655 7792</t>
  </si>
  <si>
    <t>jamesaowens@gmail.com</t>
  </si>
  <si>
    <t>Jess</t>
  </si>
  <si>
    <t>071 880 1972</t>
  </si>
  <si>
    <t>jessicaowens@hottmail.com</t>
  </si>
  <si>
    <t>Nelson Makgobe</t>
  </si>
  <si>
    <t>082 336 0385</t>
  </si>
  <si>
    <t xml:space="preserve">Peter </t>
  </si>
  <si>
    <t>082 901 3843</t>
  </si>
  <si>
    <t>Basil</t>
  </si>
  <si>
    <t>082 259 8624</t>
  </si>
  <si>
    <t>basil@dencoplastics.co.za</t>
  </si>
  <si>
    <t>Annual payment 5/2/2026</t>
  </si>
  <si>
    <t>Jason</t>
  </si>
  <si>
    <t>sharon@dencoplastics.co.za</t>
  </si>
  <si>
    <t>Lee</t>
  </si>
  <si>
    <t>082 931 5079</t>
  </si>
  <si>
    <t>Tyrone and Carine</t>
  </si>
  <si>
    <t>082 332 8234</t>
  </si>
  <si>
    <t>Wynand</t>
  </si>
  <si>
    <t>071 481 3637</t>
  </si>
  <si>
    <t>Stacey Susan</t>
  </si>
  <si>
    <t>079 871 3996</t>
  </si>
  <si>
    <t>wbodensteingo@gmail.com</t>
  </si>
  <si>
    <t>Kyle Wallace</t>
  </si>
  <si>
    <t>084 581 0630</t>
  </si>
  <si>
    <t>Shannon</t>
  </si>
  <si>
    <t>078 390 8100</t>
  </si>
  <si>
    <t>083 784 0569</t>
  </si>
  <si>
    <t>067 685 5968</t>
  </si>
  <si>
    <t>peggyb305@gmail.com</t>
  </si>
  <si>
    <t>U Ncube</t>
  </si>
  <si>
    <t>072 866 5549</t>
  </si>
  <si>
    <t>Rajesh Umrigar</t>
  </si>
  <si>
    <t>064 321 0416</t>
  </si>
  <si>
    <t>Simon</t>
  </si>
  <si>
    <t>076 609 9999</t>
  </si>
  <si>
    <t>Intiaz</t>
  </si>
  <si>
    <t>084 478 8786</t>
  </si>
  <si>
    <t>Aslam Khan</t>
  </si>
  <si>
    <t>061 112 9863</t>
  </si>
  <si>
    <t>askaslamkhanto@gmail.com</t>
  </si>
  <si>
    <t>A. Kirhy</t>
  </si>
  <si>
    <t>060 680 6805</t>
  </si>
  <si>
    <t>Mduduzi Dube</t>
  </si>
  <si>
    <t>078 628 3710</t>
  </si>
  <si>
    <t>mduduzidube0907@gmail.com</t>
  </si>
  <si>
    <t>Cyril Khumalo</t>
  </si>
  <si>
    <t>078 980 0608</t>
  </si>
  <si>
    <t>cyril.khumalo@gmail.com</t>
  </si>
  <si>
    <t>Kevin and Angela Hellyer</t>
  </si>
  <si>
    <t xml:space="preserve">GLV064              </t>
  </si>
  <si>
    <t>082 490 8066</t>
  </si>
  <si>
    <t>083 303 9699</t>
  </si>
  <si>
    <t>two.wheelin@icloud.com</t>
  </si>
  <si>
    <t>Chickens</t>
  </si>
  <si>
    <t xml:space="preserve">NIC065              </t>
  </si>
  <si>
    <t>082 892 2726</t>
  </si>
  <si>
    <t>083 232 3030</t>
  </si>
  <si>
    <t>Kairuzreg@gmail.com</t>
  </si>
  <si>
    <t>Peter Paget (T)</t>
  </si>
  <si>
    <t>Jayden De Klerk</t>
  </si>
  <si>
    <t>J. de Maiton</t>
  </si>
  <si>
    <t>082 555 5922</t>
  </si>
  <si>
    <t>Alexander</t>
  </si>
  <si>
    <t>Martin and Yolande Taute</t>
  </si>
  <si>
    <t xml:space="preserve">GLV066T             </t>
  </si>
  <si>
    <t>067 780 7862</t>
  </si>
  <si>
    <t>082 655 6625</t>
  </si>
  <si>
    <t>martintaute@gmail.com</t>
  </si>
  <si>
    <t xml:space="preserve">BLG 066             </t>
  </si>
  <si>
    <t>083 703 3953</t>
  </si>
  <si>
    <t>083 296 7474</t>
  </si>
  <si>
    <t>sharon.bantjes@gmail.com</t>
  </si>
  <si>
    <t>May Gibbs</t>
  </si>
  <si>
    <t>Geoff White</t>
  </si>
  <si>
    <t>084 801 0964</t>
  </si>
  <si>
    <t>R. Worden</t>
  </si>
  <si>
    <t>Izetta de Sa</t>
  </si>
  <si>
    <t>065 983 0286</t>
  </si>
  <si>
    <t>Paulos Ngwenya</t>
  </si>
  <si>
    <t>083 466 9940</t>
  </si>
  <si>
    <t>Patrick Radzilani</t>
  </si>
  <si>
    <t>076 330 0578</t>
  </si>
  <si>
    <t>sulushedzaniradzilani@gmail.com</t>
  </si>
  <si>
    <t>Sarel and Vicky Badenhorst</t>
  </si>
  <si>
    <t>082 413 5700</t>
  </si>
  <si>
    <t>082 465 1018</t>
  </si>
  <si>
    <t>EEU069</t>
  </si>
  <si>
    <t>079 306 1857</t>
  </si>
  <si>
    <t>072 627 9440</t>
  </si>
  <si>
    <t>079 980 9110</t>
  </si>
  <si>
    <t>ssgroenewald6202@gmail.com</t>
  </si>
  <si>
    <t>Simone Groenewald</t>
  </si>
  <si>
    <t>071 111 5846</t>
  </si>
  <si>
    <t>Engela Smit</t>
  </si>
  <si>
    <t>069 526b6853</t>
  </si>
  <si>
    <t>Christopher Leeson</t>
  </si>
  <si>
    <t xml:space="preserve">WLK069              </t>
  </si>
  <si>
    <t>083 600 0450</t>
  </si>
  <si>
    <t>chris@cai.co.za</t>
  </si>
  <si>
    <t>Wesley Steenkamp</t>
  </si>
  <si>
    <t>076 228 0370</t>
  </si>
  <si>
    <t>Jennifer diers</t>
  </si>
  <si>
    <t>084 607 3605</t>
  </si>
  <si>
    <t>jen.diers29@gmail.com</t>
  </si>
  <si>
    <t>Mike Diers</t>
  </si>
  <si>
    <t>083 555 5842</t>
  </si>
  <si>
    <t>Darren Cornish</t>
  </si>
  <si>
    <t xml:space="preserve">GOL070              </t>
  </si>
  <si>
    <t>J Diers</t>
  </si>
  <si>
    <t>084 007 3605</t>
  </si>
  <si>
    <t>Karen Dednam</t>
  </si>
  <si>
    <t>081 541 5440</t>
  </si>
  <si>
    <t>Deon Kruis</t>
  </si>
  <si>
    <t>083 413 0225</t>
  </si>
  <si>
    <t>084 812 5513</t>
  </si>
  <si>
    <t>Chanell Kruis</t>
  </si>
  <si>
    <t>083 701 7940</t>
  </si>
  <si>
    <t>Gareth Norton</t>
  </si>
  <si>
    <t xml:space="preserve">BLG 071             </t>
  </si>
  <si>
    <t>074 918 7292</t>
  </si>
  <si>
    <t>Adrian Groenewald</t>
  </si>
  <si>
    <t>Dennis van der Merwe</t>
  </si>
  <si>
    <t xml:space="preserve">3RD071              </t>
  </si>
  <si>
    <t>R Richardson</t>
  </si>
  <si>
    <t>073 956 8036</t>
  </si>
  <si>
    <t>OJ Richardson</t>
  </si>
  <si>
    <t>082 537 8173</t>
  </si>
  <si>
    <t>Hollins</t>
  </si>
  <si>
    <t>079 037 0855</t>
  </si>
  <si>
    <t>McDonald</t>
  </si>
  <si>
    <t>083 266 4589</t>
  </si>
  <si>
    <t>Shawn</t>
  </si>
  <si>
    <t>BLG073/1</t>
  </si>
  <si>
    <t>072 418 5470</t>
  </si>
  <si>
    <t>VW Smith ?</t>
  </si>
  <si>
    <t>Sayed Zainulabidien</t>
  </si>
  <si>
    <t xml:space="preserve">GLV073              </t>
  </si>
  <si>
    <t>061 445 5993</t>
  </si>
  <si>
    <t>toyrasayed@gmail.com</t>
  </si>
  <si>
    <t>Melinda van der Merwe</t>
  </si>
  <si>
    <t>3RD073</t>
  </si>
  <si>
    <t>064 141 9925</t>
  </si>
  <si>
    <t>Linked to above? Different plot #</t>
  </si>
  <si>
    <t xml:space="preserve">GOL074              </t>
  </si>
  <si>
    <t>082 446 0697</t>
  </si>
  <si>
    <t>062 119 2155</t>
  </si>
  <si>
    <t>wilsonia.delahunty@yahoo.co.za</t>
  </si>
  <si>
    <t>Jethro Booysen</t>
  </si>
  <si>
    <t>076 259 5690</t>
  </si>
  <si>
    <t>Danie Van Zyl</t>
  </si>
  <si>
    <t>068 237 0597</t>
  </si>
  <si>
    <t>Donovan Van Zyl</t>
  </si>
  <si>
    <t>073 843 4413</t>
  </si>
  <si>
    <t>Barbara</t>
  </si>
  <si>
    <t>082 601 6089</t>
  </si>
  <si>
    <t>barbara@vicsa.co.za</t>
  </si>
  <si>
    <t>Valin</t>
  </si>
  <si>
    <t>082 652 6230</t>
  </si>
  <si>
    <t>valin@vicsa.co.za</t>
  </si>
  <si>
    <t>Patrick</t>
  </si>
  <si>
    <t>072 382 4026</t>
  </si>
  <si>
    <t>Barbara Fegen</t>
  </si>
  <si>
    <t>083 748 0560</t>
  </si>
  <si>
    <t>barbarafegenbf@gmail.com</t>
  </si>
  <si>
    <t>Eric De Witt</t>
  </si>
  <si>
    <t>MTM Kyumgil</t>
  </si>
  <si>
    <t>078 080 0718</t>
  </si>
  <si>
    <t>Nick and Michelle Kelly</t>
  </si>
  <si>
    <t>071 358 0678</t>
  </si>
  <si>
    <t>072 940 2784</t>
  </si>
  <si>
    <t>555kellymichelle@gmail.com</t>
  </si>
  <si>
    <t>Ben Van Niekerk</t>
  </si>
  <si>
    <t>079 098 5947</t>
  </si>
  <si>
    <t>Valin Smith</t>
  </si>
  <si>
    <t>071 817 1859</t>
  </si>
  <si>
    <t>valin@firesmiths.co.za</t>
  </si>
  <si>
    <t xml:space="preserve">BLG077              </t>
  </si>
  <si>
    <t>072 642 8344</t>
  </si>
  <si>
    <t>083 681 0277</t>
  </si>
  <si>
    <t>Fiona van der Linde</t>
  </si>
  <si>
    <t>083 237 778?</t>
  </si>
  <si>
    <t>083 414 8400</t>
  </si>
  <si>
    <t>078 132 5771</t>
  </si>
  <si>
    <t>potgieterpjp@gmail.com</t>
  </si>
  <si>
    <t>Peter &amp; Andrea Petzer</t>
  </si>
  <si>
    <t>GOL078</t>
  </si>
  <si>
    <t>083 212 0062</t>
  </si>
  <si>
    <t>andrea@injati.co.za</t>
  </si>
  <si>
    <t>NEW MEMBER - DO WEF 1/3/26</t>
  </si>
  <si>
    <t>Nathaniel Ramsden</t>
  </si>
  <si>
    <t>073 207 1080</t>
  </si>
  <si>
    <t>082 827 6708</t>
  </si>
  <si>
    <t>082 939 5290</t>
  </si>
  <si>
    <t>wrightcarlo9@gmail.com</t>
  </si>
  <si>
    <t>Cayden Le Roux additional property</t>
  </si>
  <si>
    <t>SD advised subdivided property</t>
  </si>
  <si>
    <t>Nkosi Nkosi</t>
  </si>
  <si>
    <t>064 107 2131</t>
  </si>
  <si>
    <t>A Kennelly</t>
  </si>
  <si>
    <t>BLG080</t>
  </si>
  <si>
    <t>Denis Lev</t>
  </si>
  <si>
    <t>079 096 2110</t>
  </si>
  <si>
    <t>Andre Brummer</t>
  </si>
  <si>
    <t>083 453 1270</t>
  </si>
  <si>
    <t>andre@brummer.co.za</t>
  </si>
  <si>
    <t>Erin Lubbe</t>
  </si>
  <si>
    <t>083 401 9091</t>
  </si>
  <si>
    <t>erin06.ep@gmail.com</t>
  </si>
  <si>
    <t>Bevan Lubbe</t>
  </si>
  <si>
    <t>062 501 3991</t>
  </si>
  <si>
    <t>Johan</t>
  </si>
  <si>
    <t>083 411 2190</t>
  </si>
  <si>
    <t>M. Bodibe / Faki</t>
  </si>
  <si>
    <t>083 799 4901</t>
  </si>
  <si>
    <t>081 520 5225</t>
  </si>
  <si>
    <t>bodibefaki82@gmail.com</t>
  </si>
  <si>
    <t>SD advised affordability issue, sickly and old</t>
  </si>
  <si>
    <t>Bonolo Bodibe</t>
  </si>
  <si>
    <t>073 213 6908</t>
  </si>
  <si>
    <t>Marumo Bodibe</t>
  </si>
  <si>
    <t>063 656 4840</t>
  </si>
  <si>
    <t>084 514 7844</t>
  </si>
  <si>
    <t>Aryna Kauffmann LSMJ Jewellers</t>
  </si>
  <si>
    <t>076 994 0148</t>
  </si>
  <si>
    <t>aryna@lsmj.co.za</t>
  </si>
  <si>
    <t>Phillipina</t>
  </si>
  <si>
    <t>Phillip De Klerk</t>
  </si>
  <si>
    <t>072 144 1122</t>
  </si>
  <si>
    <t>Yonus</t>
  </si>
  <si>
    <t>084 255 1877</t>
  </si>
  <si>
    <t>Robert Crowe</t>
  </si>
  <si>
    <t>082 687 8590</t>
  </si>
  <si>
    <t>Naz Rossouw</t>
  </si>
  <si>
    <t>Gilda &amp; Louis Achadinha</t>
  </si>
  <si>
    <t xml:space="preserve">NEL084              </t>
  </si>
  <si>
    <t>084 870 9677</t>
  </si>
  <si>
    <t>083 929 0577</t>
  </si>
  <si>
    <t>016 982 8339</t>
  </si>
  <si>
    <t>achadinhagilda@gmail.com</t>
  </si>
  <si>
    <t>Israel</t>
  </si>
  <si>
    <t>Muzi Thabethe</t>
  </si>
  <si>
    <t>073 372 0343</t>
  </si>
  <si>
    <t>khumuent.wise@gmail.com</t>
  </si>
  <si>
    <t>Mothosonke Thabethe</t>
  </si>
  <si>
    <t>061 370 4167</t>
  </si>
  <si>
    <t xml:space="preserve">GOL085 </t>
  </si>
  <si>
    <t>062 926 7889</t>
  </si>
  <si>
    <t>naidooprevin@gmail.com</t>
  </si>
  <si>
    <t>Waza Waiza</t>
  </si>
  <si>
    <t>082 364 6412</t>
  </si>
  <si>
    <t>Gale Webb (Montage Agencies)</t>
  </si>
  <si>
    <t xml:space="preserve">BLG 086             </t>
  </si>
  <si>
    <t>082 445 4506</t>
  </si>
  <si>
    <t>para@mweb.co.za</t>
  </si>
  <si>
    <t>Thapelo</t>
  </si>
  <si>
    <t>073 377 5197</t>
  </si>
  <si>
    <t>Arlole Len</t>
  </si>
  <si>
    <t>079 457 9957</t>
  </si>
  <si>
    <t>L Pappas</t>
  </si>
  <si>
    <t>082 890 4052</t>
  </si>
  <si>
    <t>GOL087-EFT</t>
  </si>
  <si>
    <t>082 447 0770</t>
  </si>
  <si>
    <t>vanjaarsveld1@telkomsa.net</t>
  </si>
  <si>
    <t>Libera</t>
  </si>
  <si>
    <t>082 554 8827</t>
  </si>
  <si>
    <t>Virginia Qobo</t>
  </si>
  <si>
    <t>082 679 0673</t>
  </si>
  <si>
    <t>queenssafety01@gmail.com</t>
  </si>
  <si>
    <t>Geraldine Peters</t>
  </si>
  <si>
    <t>GLV89</t>
  </si>
  <si>
    <t>083 463 2762</t>
  </si>
  <si>
    <t>Sally Mulligan</t>
  </si>
  <si>
    <t xml:space="preserve">GLV007              </t>
  </si>
  <si>
    <t>083 302 6917</t>
  </si>
  <si>
    <t>083 373 1921</t>
  </si>
  <si>
    <t>rhinotrace@gmail.com</t>
  </si>
  <si>
    <t>Neante</t>
  </si>
  <si>
    <t>060 533 3887</t>
  </si>
  <si>
    <t>neante.large@gmai.com</t>
  </si>
  <si>
    <t>NEL090</t>
  </si>
  <si>
    <t>0673105676</t>
  </si>
  <si>
    <t>avnht.tracey@gmail.com</t>
  </si>
  <si>
    <t>Kyle</t>
  </si>
  <si>
    <t>078 266 7123</t>
  </si>
  <si>
    <t>kylesvdw2@gmail.com</t>
  </si>
  <si>
    <t>Muhammad</t>
  </si>
  <si>
    <t>084 654 2919</t>
  </si>
  <si>
    <t>079 367 0413</t>
  </si>
  <si>
    <t xml:space="preserve">BLG091              </t>
  </si>
  <si>
    <t>082 331 6894</t>
  </si>
  <si>
    <t>ekeartland@gmail.com</t>
  </si>
  <si>
    <t>Nigel Wildman</t>
  </si>
  <si>
    <t>GOL091</t>
  </si>
  <si>
    <t>083 250 9727</t>
  </si>
  <si>
    <t>nigel.wildman@davey.co.za</t>
  </si>
  <si>
    <t>NEW DO MAR26 R170</t>
  </si>
  <si>
    <t>NEL092</t>
  </si>
  <si>
    <t>084 342 4939</t>
  </si>
  <si>
    <t>084 341 6058</t>
  </si>
  <si>
    <t>Richard &amp; Susan Bentheim</t>
  </si>
  <si>
    <t xml:space="preserve">BLG093B             </t>
  </si>
  <si>
    <t>084 304 1478</t>
  </si>
  <si>
    <t>078 533 6703</t>
  </si>
  <si>
    <t>richieinza@gmail.com</t>
  </si>
  <si>
    <t>Daphne Bentheim</t>
  </si>
  <si>
    <t>072 445 3629</t>
  </si>
  <si>
    <t>daphnesa2@gmail.com</t>
  </si>
  <si>
    <t>Richard Moore-Moores Motor Spares</t>
  </si>
  <si>
    <t xml:space="preserve">GLV093              </t>
  </si>
  <si>
    <t>083 228 6452</t>
  </si>
  <si>
    <t>more4x4@absamail.co.za</t>
  </si>
  <si>
    <t>Moira Moore</t>
  </si>
  <si>
    <t>083 612 2102</t>
  </si>
  <si>
    <t>Eleaneri</t>
  </si>
  <si>
    <t>072 173 0862</t>
  </si>
  <si>
    <t>Edwin Abrahamse</t>
  </si>
  <si>
    <t>075 089 4741</t>
  </si>
  <si>
    <t>edwinabrahamse@gmail.com</t>
  </si>
  <si>
    <t xml:space="preserve">NEL094              </t>
  </si>
  <si>
    <t>073 237 3355</t>
  </si>
  <si>
    <t>jdturbotechnology@gmail.com</t>
  </si>
  <si>
    <t>Shelly Rautenbach</t>
  </si>
  <si>
    <t>079 544 6833</t>
  </si>
  <si>
    <t>Changa</t>
  </si>
  <si>
    <t>079 697 7676</t>
  </si>
  <si>
    <t>jffosenburg@gmail.com</t>
  </si>
  <si>
    <t>M Haseb</t>
  </si>
  <si>
    <t>084 469 0717</t>
  </si>
  <si>
    <t>haseeb2in1@gmail.com</t>
  </si>
  <si>
    <t>Haris Saqib</t>
  </si>
  <si>
    <t>Vacant Stand</t>
  </si>
  <si>
    <t>Alan Benington</t>
  </si>
  <si>
    <t>083 626 8909</t>
  </si>
  <si>
    <t>alan@clickclickboom.co.za</t>
  </si>
  <si>
    <t>083 463 8578</t>
  </si>
  <si>
    <t>Chantel</t>
  </si>
  <si>
    <t>076 430 6507</t>
  </si>
  <si>
    <t>chantel.fnie@gmail.com</t>
  </si>
  <si>
    <t>John Allsop</t>
  </si>
  <si>
    <t>071 084 8605</t>
  </si>
  <si>
    <t>Mandy Tucker</t>
  </si>
  <si>
    <t>082 413 6865</t>
  </si>
  <si>
    <t>Bev van der Walt</t>
  </si>
  <si>
    <t>081 417 7522</t>
  </si>
  <si>
    <t>Simon Tekela</t>
  </si>
  <si>
    <t>083 697 5347</t>
  </si>
  <si>
    <t>tekelasimon57@gmail.com</t>
  </si>
  <si>
    <t>Iman Ntenni</t>
  </si>
  <si>
    <t>072 383 6025</t>
  </si>
  <si>
    <t>imanbaloyi@gmail.com</t>
  </si>
  <si>
    <t>Gareth Woods</t>
  </si>
  <si>
    <t>082 456 3536</t>
  </si>
  <si>
    <t>garethw212@gmail.com</t>
  </si>
  <si>
    <t>Charles Vosloo</t>
  </si>
  <si>
    <t>083 617 7469</t>
  </si>
  <si>
    <t>Zandile Mabaso</t>
  </si>
  <si>
    <t>Boomgate entrance?</t>
  </si>
  <si>
    <t>067 141 7318</t>
  </si>
  <si>
    <t>zahxabap@gmail.com</t>
  </si>
  <si>
    <t>Linda Jordaan</t>
  </si>
  <si>
    <t>083 650 4444</t>
  </si>
  <si>
    <t>Gregg</t>
  </si>
  <si>
    <t>081 208 8048</t>
  </si>
  <si>
    <t>069 106 6344</t>
  </si>
  <si>
    <t>rmbsoul15@gmail.com</t>
  </si>
  <si>
    <t>Miriam (Dolla) Spalding</t>
  </si>
  <si>
    <t>063 013 6105</t>
  </si>
  <si>
    <t>082 853 7855</t>
  </si>
  <si>
    <t>khumbulad@gmail.com</t>
  </si>
  <si>
    <t>Paul &amp; Liz Lottreaux (Celtic Software)</t>
  </si>
  <si>
    <t xml:space="preserve">BLG 101             </t>
  </si>
  <si>
    <t>081 098 3664</t>
  </si>
  <si>
    <t>082 445 0974</t>
  </si>
  <si>
    <t>lottreauxpaul@gmail.com</t>
  </si>
  <si>
    <t>Henry Strydom</t>
  </si>
  <si>
    <t>066 203 3075</t>
  </si>
  <si>
    <t>ncs098@gmail.com</t>
  </si>
  <si>
    <t>Tokelo Motsoane</t>
  </si>
  <si>
    <t>076 677 7493</t>
  </si>
  <si>
    <t>tokelomm@gmail.com</t>
  </si>
  <si>
    <t>Marc and Barbara Ridderhof</t>
  </si>
  <si>
    <t>066 304 5175</t>
  </si>
  <si>
    <t>082 561 4321</t>
  </si>
  <si>
    <t>barbara.ridderhof@outlook.com</t>
  </si>
  <si>
    <t>Johnny and Anya Knoetze</t>
  </si>
  <si>
    <t>071 942 5315</t>
  </si>
  <si>
    <t>anyaknoetze@gmail.com</t>
  </si>
  <si>
    <t>Dr Bert Rokebrand</t>
  </si>
  <si>
    <t>083 519 0277</t>
  </si>
  <si>
    <t>083 266 3144</t>
  </si>
  <si>
    <t>Jason Roberts</t>
  </si>
  <si>
    <t>082 694 7276</t>
  </si>
  <si>
    <t>Aaqil Pariachi</t>
  </si>
  <si>
    <t xml:space="preserve">DWT104              </t>
  </si>
  <si>
    <t>073 300 9721</t>
  </si>
  <si>
    <t>072 200 7537</t>
  </si>
  <si>
    <t>aaqil1988@gmail.com</t>
  </si>
  <si>
    <t>Zaakir Motala</t>
  </si>
  <si>
    <t>060 566 4330</t>
  </si>
  <si>
    <t>zm786.12@gmail.com</t>
  </si>
  <si>
    <t>Debbie Wilson</t>
  </si>
  <si>
    <t>083 548 8629</t>
  </si>
  <si>
    <t>debbiewilson686@gmail.com</t>
  </si>
  <si>
    <t>Bob Mclean</t>
  </si>
  <si>
    <t>083 518 7803</t>
  </si>
  <si>
    <t>robertmclean834@gmail.com</t>
  </si>
  <si>
    <t>Anton Boerner (Owner)</t>
  </si>
  <si>
    <t>078 925 3151</t>
  </si>
  <si>
    <t>anton@abceramics.co.za</t>
  </si>
  <si>
    <t>Mike Naude</t>
  </si>
  <si>
    <t>083 461 4358</t>
  </si>
  <si>
    <t>Sean Nadig</t>
  </si>
  <si>
    <t>082 346 0097</t>
  </si>
  <si>
    <t>Not supplied</t>
  </si>
  <si>
    <t>EFT REF 108 BLG, BLG108, BLG108 CAMERA</t>
  </si>
  <si>
    <t>Rochelle Hokai</t>
  </si>
  <si>
    <t>069 165 1913</t>
  </si>
  <si>
    <t>Vanesse Wilson</t>
  </si>
  <si>
    <t>073 059 4730</t>
  </si>
  <si>
    <t>061 724 3266</t>
  </si>
  <si>
    <t>sifisoma45@gmail.com</t>
  </si>
  <si>
    <t>Gill Rowley</t>
  </si>
  <si>
    <t>083 293 8866</t>
  </si>
  <si>
    <t>Stephanie van Heerden</t>
  </si>
  <si>
    <t>081 488 3494</t>
  </si>
  <si>
    <t>stephanievanheerden02@gmail.com</t>
  </si>
  <si>
    <t>Anna Botha</t>
  </si>
  <si>
    <t>083 255 2247</t>
  </si>
  <si>
    <t>annabotha54@gmail.com</t>
  </si>
  <si>
    <t>Ben</t>
  </si>
  <si>
    <t>063 519 1355</t>
  </si>
  <si>
    <t>barend.kotze@gmail.com</t>
  </si>
  <si>
    <t>G.Pitamber</t>
  </si>
  <si>
    <t>011 949 4173</t>
  </si>
  <si>
    <t>grant.acp@gmail.com</t>
  </si>
  <si>
    <t>Tadiwanashe Muchono</t>
  </si>
  <si>
    <t>073 764 1552</t>
  </si>
  <si>
    <t>muchonotadino@gmail.com</t>
  </si>
  <si>
    <t>Yolandali Kgomo</t>
  </si>
  <si>
    <t>064 661 1783</t>
  </si>
  <si>
    <t>yolandalikgomo@gmail.com</t>
  </si>
  <si>
    <t>Jaan</t>
  </si>
  <si>
    <t>082 335 7382</t>
  </si>
  <si>
    <t>jjswart75@gmail.com</t>
  </si>
  <si>
    <t>Prosper Nurambinda</t>
  </si>
  <si>
    <t>069 553 8553</t>
  </si>
  <si>
    <t>nurambindaprosper55@gmail.com</t>
  </si>
  <si>
    <t>Hazel Titterton</t>
  </si>
  <si>
    <t xml:space="preserve">BLG 115             </t>
  </si>
  <si>
    <t>083 601 0781</t>
  </si>
  <si>
    <t>hazel@atnursery.co.za</t>
  </si>
  <si>
    <t>AT Nursery</t>
  </si>
  <si>
    <t>078 129 9338</t>
  </si>
  <si>
    <t>083 785 4968</t>
  </si>
  <si>
    <t>phillipg@kkshelving.co.za</t>
  </si>
  <si>
    <t>Luca Gomes</t>
  </si>
  <si>
    <t>065 988 5192</t>
  </si>
  <si>
    <t>lg728526@gmail.com</t>
  </si>
  <si>
    <t>Nandi</t>
  </si>
  <si>
    <t>062 968 4516</t>
  </si>
  <si>
    <t>rachealtimile@gmail.com</t>
  </si>
  <si>
    <t>Patricia</t>
  </si>
  <si>
    <t>083 862 1622</t>
  </si>
  <si>
    <t>pmtiz@yahoo.com</t>
  </si>
  <si>
    <t>083 959 2854</t>
  </si>
  <si>
    <t>sabdmc@mail.com</t>
  </si>
  <si>
    <t>Mervyn Frames</t>
  </si>
  <si>
    <t>083 460 9152</t>
  </si>
  <si>
    <t>Udo Scheffler</t>
  </si>
  <si>
    <t>078 110 9481</t>
  </si>
  <si>
    <t>blazizeflorens@gmail.com</t>
  </si>
  <si>
    <t>Florens</t>
  </si>
  <si>
    <t>078 110 7293</t>
  </si>
  <si>
    <t>J. Hall</t>
  </si>
  <si>
    <t>082 303 3047</t>
  </si>
  <si>
    <t>Peter Mafatla</t>
  </si>
  <si>
    <t>083 200 7299</t>
  </si>
  <si>
    <t>Rudi &amp; Johan Naude</t>
  </si>
  <si>
    <t>082 338 3095</t>
  </si>
  <si>
    <t>johan@pixelnationinc.com</t>
  </si>
  <si>
    <t>Rachel Balthazar</t>
  </si>
  <si>
    <t xml:space="preserve">8RD143              </t>
  </si>
  <si>
    <t>Irens Balthazar</t>
  </si>
  <si>
    <t>082 674 5203</t>
  </si>
  <si>
    <t>irensbalthazar@gmail.com</t>
  </si>
  <si>
    <t xml:space="preserve">Neil  </t>
  </si>
  <si>
    <t>Road No 6</t>
  </si>
  <si>
    <t>066 067 6718</t>
  </si>
  <si>
    <t>Keystone Dhlumo</t>
  </si>
  <si>
    <t>084 538 3691</t>
  </si>
  <si>
    <t>keystoneitaigmail@gmail</t>
  </si>
  <si>
    <t>Bongani Makhathini</t>
  </si>
  <si>
    <t>079 909 3913</t>
  </si>
  <si>
    <t>Nomkhitha Makhathini</t>
  </si>
  <si>
    <t>078 804 7392</t>
  </si>
  <si>
    <t>Frans and Barendina Du Plessis</t>
  </si>
  <si>
    <t>083 387 4905</t>
  </si>
  <si>
    <t>073 278 8081</t>
  </si>
  <si>
    <t>fransjdup@gmail.com</t>
  </si>
  <si>
    <t>Hendrik Strydom</t>
  </si>
  <si>
    <t xml:space="preserve">RD7150              </t>
  </si>
  <si>
    <t>073 636 0632</t>
  </si>
  <si>
    <t>Henry and Catarina Moorcroft</t>
  </si>
  <si>
    <t xml:space="preserve">OHM151              </t>
  </si>
  <si>
    <t>HES Moorcraft</t>
  </si>
  <si>
    <t xml:space="preserve">HAO151              </t>
  </si>
  <si>
    <t>083 265 1152</t>
  </si>
  <si>
    <t>082 613 9731</t>
  </si>
  <si>
    <t>zamohr@icloud.com</t>
  </si>
  <si>
    <t>Joseph and Gwendolene Segoto</t>
  </si>
  <si>
    <t>CS Hentiq 1151 (Pty) Ltd</t>
  </si>
  <si>
    <t>Chippy Projects CC</t>
  </si>
  <si>
    <t>Elsa Odendaal</t>
  </si>
  <si>
    <t>082 337 1903</t>
  </si>
  <si>
    <t>Precious Place of Hope</t>
  </si>
  <si>
    <t>Noleen Dons</t>
  </si>
  <si>
    <t>DECEASED</t>
  </si>
  <si>
    <t>Nsova Mashaba</t>
  </si>
  <si>
    <t xml:space="preserve">RD7242              </t>
  </si>
  <si>
    <t>076 150 8926</t>
  </si>
  <si>
    <t>Venessa Venter</t>
  </si>
  <si>
    <t>RD7243</t>
  </si>
  <si>
    <t>084 581 8006</t>
  </si>
  <si>
    <t>vventer4@gmail.com</t>
  </si>
  <si>
    <t>SIGNED - NEW MEMBER TO PAY DO 22/3</t>
  </si>
  <si>
    <t>Charmaine De Beer</t>
  </si>
  <si>
    <t>074 263 3567</t>
  </si>
  <si>
    <t>244RD7HAO</t>
  </si>
  <si>
    <t>082 783 3639</t>
  </si>
  <si>
    <t>adv-fl@protonmail.com</t>
  </si>
  <si>
    <t>Rudolf &amp; Susanna Seifert</t>
  </si>
  <si>
    <t xml:space="preserve">HAO245              </t>
  </si>
  <si>
    <t>076 810 4971</t>
  </si>
  <si>
    <t>susannaseifert037@gmail.com</t>
  </si>
  <si>
    <t>Paul Roberts and Debbie French</t>
  </si>
  <si>
    <t>082 339 6550</t>
  </si>
  <si>
    <t>083 976 5039</t>
  </si>
  <si>
    <t>debbiefrench13@gmail.com</t>
  </si>
  <si>
    <t>Sonwabile Manqalaca</t>
  </si>
  <si>
    <t>062 168 1872</t>
  </si>
  <si>
    <t>Leonard and Faith Manqalaza</t>
  </si>
  <si>
    <t xml:space="preserve">RD7247              </t>
  </si>
  <si>
    <t>073 235 9512</t>
  </si>
  <si>
    <t>Request to cancel re affordability Jul25</t>
  </si>
  <si>
    <t>Lukas Lessing</t>
  </si>
  <si>
    <t>Amanda Reeves</t>
  </si>
  <si>
    <t>078 787 3917</t>
  </si>
  <si>
    <t>Jim Reeves</t>
  </si>
  <si>
    <t>064 094 4550</t>
  </si>
  <si>
    <t>Johan Vermaak</t>
  </si>
  <si>
    <t>072 702 9969</t>
  </si>
  <si>
    <t>Peter Zulu</t>
  </si>
  <si>
    <t>073 704 5306</t>
  </si>
  <si>
    <t>Leonard and Kopako Molako</t>
  </si>
  <si>
    <t>072 185 6202</t>
  </si>
  <si>
    <t>Joe</t>
  </si>
  <si>
    <t>083 739 8894</t>
  </si>
  <si>
    <t>Joao and Elisa Januario</t>
  </si>
  <si>
    <t>083 739 8844</t>
  </si>
  <si>
    <t>083 308 8620</t>
  </si>
  <si>
    <t>Mathibe and Magdeline Huma</t>
  </si>
  <si>
    <t>083 260 0867</t>
  </si>
  <si>
    <t>Elsie Mahuhushi</t>
  </si>
  <si>
    <t>076 464 8725</t>
  </si>
  <si>
    <t>Donald and Nonhle Chikudo</t>
  </si>
  <si>
    <t>081 513 4984</t>
  </si>
  <si>
    <t>Benedict and Evelyn Matia</t>
  </si>
  <si>
    <t>Nederduitse Gereformeerde Kerk</t>
  </si>
  <si>
    <t>084 895 0077</t>
  </si>
  <si>
    <t>084 632 1567</t>
  </si>
  <si>
    <t>R Baloi</t>
  </si>
  <si>
    <t>?</t>
  </si>
  <si>
    <t>073 952 0802</t>
  </si>
  <si>
    <t>No reference</t>
  </si>
  <si>
    <t>Pd 25/2 no reference</t>
  </si>
  <si>
    <t>Jacob Tamele</t>
  </si>
  <si>
    <t>084 959 2009</t>
  </si>
  <si>
    <t>Chante Venter</t>
  </si>
  <si>
    <t>083 608 2148</t>
  </si>
  <si>
    <t>chantev54@gmail.com</t>
  </si>
  <si>
    <t>Gerald Bezuidenhout (Fuel Trailers)</t>
  </si>
  <si>
    <t xml:space="preserve">1ST001              </t>
  </si>
  <si>
    <t>1,3,7</t>
  </si>
  <si>
    <t>084 896 9678</t>
  </si>
  <si>
    <t>geraldbez@gmail.com</t>
  </si>
  <si>
    <t>John &amp; Jennifer Carr</t>
  </si>
  <si>
    <t>076 379 1843</t>
  </si>
  <si>
    <t>076 643 0322</t>
  </si>
  <si>
    <t>carrj1942@gmail.com</t>
  </si>
  <si>
    <t>Jester Makoti</t>
  </si>
  <si>
    <t>GLV12/1</t>
  </si>
  <si>
    <t>12/1</t>
  </si>
  <si>
    <t>074 496 9593</t>
  </si>
  <si>
    <t>Johnny Fisher</t>
  </si>
  <si>
    <t>13</t>
  </si>
  <si>
    <t>084 587 5106</t>
  </si>
  <si>
    <t>johnnyfisher1956@gmail.com</t>
  </si>
  <si>
    <t>Darren Lester Harris</t>
  </si>
  <si>
    <t>14</t>
  </si>
  <si>
    <t>082 802 4081</t>
  </si>
  <si>
    <t>Amer Chaytoo</t>
  </si>
  <si>
    <t>145/0</t>
  </si>
  <si>
    <t>079 286 3408</t>
  </si>
  <si>
    <t>Itai Tendai and Lerato Ncube</t>
  </si>
  <si>
    <t>145/1</t>
  </si>
  <si>
    <t>074 589 6907</t>
  </si>
  <si>
    <t>itaincube2@gmail.com</t>
  </si>
  <si>
    <t>Kganyang Projects (Pty) Ltd</t>
  </si>
  <si>
    <t>145/2</t>
  </si>
  <si>
    <t>Phenda and Hletshiwe Mlotshwa</t>
  </si>
  <si>
    <t>145/3</t>
  </si>
  <si>
    <t>072 814 1253</t>
  </si>
  <si>
    <t>Isaac and Amanda Jaggers</t>
  </si>
  <si>
    <t>145/4</t>
  </si>
  <si>
    <t>073 234 5234</t>
  </si>
  <si>
    <t>Marc and Loretta Heath</t>
  </si>
  <si>
    <t>146/0</t>
  </si>
  <si>
    <t>Busisiwe Mashila</t>
  </si>
  <si>
    <t>146/1</t>
  </si>
  <si>
    <t>Mapota Mosia Trust</t>
  </si>
  <si>
    <t>146/2</t>
  </si>
  <si>
    <t>Verissmo Jose and Maria Pinto</t>
  </si>
  <si>
    <t>147/0</t>
  </si>
  <si>
    <t>147/1</t>
  </si>
  <si>
    <t>Zakhele Khanyi Mthokhozisi</t>
  </si>
  <si>
    <t>147/2</t>
  </si>
  <si>
    <t>Thabo and Nontokozo Kwenane</t>
  </si>
  <si>
    <t>147/3</t>
  </si>
  <si>
    <t>Zacharia and Andisiwe Nkambule</t>
  </si>
  <si>
    <t>147/4</t>
  </si>
  <si>
    <t>Donovan and Karen Mateman</t>
  </si>
  <si>
    <t>Road No 7 (No Name)</t>
  </si>
  <si>
    <t>148/0</t>
  </si>
  <si>
    <t>079 097 7842</t>
  </si>
  <si>
    <t>Madelena De Vries (Lelly)</t>
  </si>
  <si>
    <t>072 170 3755</t>
  </si>
  <si>
    <t>082 852 1737</t>
  </si>
  <si>
    <t>johandv1952@gmail.com</t>
  </si>
  <si>
    <t>Alistair Leukes</t>
  </si>
  <si>
    <t>15</t>
  </si>
  <si>
    <t>061 467 8440</t>
  </si>
  <si>
    <t>alistair@amlsol.com</t>
  </si>
  <si>
    <t>Arnold Williams</t>
  </si>
  <si>
    <t>060 677 9190</t>
  </si>
  <si>
    <t>arnold.williams@yahoo.com</t>
  </si>
  <si>
    <t>Abbeyfield</t>
  </si>
  <si>
    <t xml:space="preserve">BLG 016             </t>
  </si>
  <si>
    <t>16</t>
  </si>
  <si>
    <t>Wayne Pettit</t>
  </si>
  <si>
    <t xml:space="preserve">BLG 017             </t>
  </si>
  <si>
    <t>17</t>
  </si>
  <si>
    <t>082 419 8235</t>
  </si>
  <si>
    <t>waynep.home@gmail.co,</t>
  </si>
  <si>
    <t>Mtshali Nhlanhla</t>
  </si>
  <si>
    <t>Angle Road</t>
  </si>
  <si>
    <t>188?</t>
  </si>
  <si>
    <t>067 171 3015</t>
  </si>
  <si>
    <t>Carien Abrahams</t>
  </si>
  <si>
    <t xml:space="preserve">1ST022              </t>
  </si>
  <si>
    <t>22</t>
  </si>
  <si>
    <t>082 388 6699</t>
  </si>
  <si>
    <t>carien@coricroft.co.za</t>
  </si>
  <si>
    <t>Faith Abrahams</t>
  </si>
  <si>
    <t>faithJ@tlc.org.za</t>
  </si>
  <si>
    <t>Gideon and Antonette de Beer</t>
  </si>
  <si>
    <t xml:space="preserve">HAO243              </t>
  </si>
  <si>
    <t>243/1</t>
  </si>
  <si>
    <t>076 600 6275</t>
  </si>
  <si>
    <t>4debeer@gmail.com</t>
  </si>
  <si>
    <t>072 420 8819</t>
  </si>
  <si>
    <t>067 194 7241</t>
  </si>
  <si>
    <t>muthalag80@gmail.com</t>
  </si>
  <si>
    <t>PD EFT 3/3/26 R580</t>
  </si>
  <si>
    <t>Campbell Campbell</t>
  </si>
  <si>
    <t>079 957 0396</t>
  </si>
  <si>
    <t>Ifraan Ebrahim</t>
  </si>
  <si>
    <t>248/2</t>
  </si>
  <si>
    <t>Mohsin Patel</t>
  </si>
  <si>
    <t>081 518 6026</t>
  </si>
  <si>
    <t>Tebogo Letlole / Claire Campbell</t>
  </si>
  <si>
    <t>248/Re</t>
  </si>
  <si>
    <t>069 963 7834</t>
  </si>
  <si>
    <t>065 821 7959</t>
  </si>
  <si>
    <t>tebogol912@gmail.com</t>
  </si>
  <si>
    <t>Getruida (Ida) Vermaak</t>
  </si>
  <si>
    <t>RD7249</t>
  </si>
  <si>
    <t>249/1</t>
  </si>
  <si>
    <t>082 851 0558</t>
  </si>
  <si>
    <t>ida.vermaak525@gmail.com</t>
  </si>
  <si>
    <t>Chantelle Barnard</t>
  </si>
  <si>
    <t>249/2</t>
  </si>
  <si>
    <t>Juane Saayman</t>
  </si>
  <si>
    <t>077 359 8020</t>
  </si>
  <si>
    <t>TLC - Viv and Pippa</t>
  </si>
  <si>
    <t>26a</t>
  </si>
  <si>
    <t>083 704 2909</t>
  </si>
  <si>
    <t>083 382 0603</t>
  </si>
  <si>
    <t>viv@tlc.org.za</t>
  </si>
  <si>
    <t>Tristan van der Walt</t>
  </si>
  <si>
    <t>072 650 2153</t>
  </si>
  <si>
    <t>Smith Mangena</t>
  </si>
  <si>
    <t>28</t>
  </si>
  <si>
    <t>082 055 2534</t>
  </si>
  <si>
    <t>Greg Stevens</t>
  </si>
  <si>
    <t>3</t>
  </si>
  <si>
    <t>082 466 6457</t>
  </si>
  <si>
    <t>St. Francis Church</t>
  </si>
  <si>
    <t xml:space="preserve">GLV030              </t>
  </si>
  <si>
    <t>Muzikayise Simela</t>
  </si>
  <si>
    <t>32a&amp;b</t>
  </si>
  <si>
    <t>078 381 5195</t>
  </si>
  <si>
    <t>muzisimela@gmail.com</t>
  </si>
  <si>
    <t>Unknown</t>
  </si>
  <si>
    <t>35</t>
  </si>
  <si>
    <t>Ramushu - Catholic Church</t>
  </si>
  <si>
    <t>079 326 1391</t>
  </si>
  <si>
    <t>R Shearer? No 40 per D/O ref?</t>
  </si>
  <si>
    <t>42a</t>
  </si>
  <si>
    <t>Clinton Fortuin</t>
  </si>
  <si>
    <t>48</t>
  </si>
  <si>
    <t>074 375 0591</t>
  </si>
  <si>
    <t>info@dalizab.co.za</t>
  </si>
  <si>
    <t>Darren Booysen</t>
  </si>
  <si>
    <t>061 295 9988</t>
  </si>
  <si>
    <t>darren@dalizab.co.za</t>
  </si>
  <si>
    <t>54-1</t>
  </si>
  <si>
    <t>buhlembathazi@gmail.com</t>
  </si>
  <si>
    <t>Millicent Nkosi</t>
  </si>
  <si>
    <t>CNT054-1</t>
  </si>
  <si>
    <t>nkosimillicent939@gmail.com</t>
  </si>
  <si>
    <t>NEW MEMBER DO WEF 6/3/26</t>
  </si>
  <si>
    <t>066 457 8166</t>
  </si>
  <si>
    <t>084 580 0639</t>
  </si>
  <si>
    <t>william.jackson@conauto.co.za</t>
  </si>
  <si>
    <t xml:space="preserve">BLG057              </t>
  </si>
  <si>
    <t>082 707 1152</t>
  </si>
  <si>
    <t>082 707 1137</t>
  </si>
  <si>
    <t>lolwanemabuyi@gmail.com</t>
  </si>
  <si>
    <t>Michelle Goncalves</t>
  </si>
  <si>
    <t>59A</t>
  </si>
  <si>
    <t>084 493 1111</t>
  </si>
  <si>
    <t>gonsalvesm@gmail.com</t>
  </si>
  <si>
    <t>Gadatia Mustak</t>
  </si>
  <si>
    <t xml:space="preserve">HIL69/71            </t>
  </si>
  <si>
    <t>69/71</t>
  </si>
  <si>
    <t>Jacinta van der Walt</t>
  </si>
  <si>
    <t>69A</t>
  </si>
  <si>
    <t>079 541 7505</t>
  </si>
  <si>
    <t>Nomvula Shelembe</t>
  </si>
  <si>
    <t>Ohenimuri</t>
  </si>
  <si>
    <t>7</t>
  </si>
  <si>
    <t>082 957 4042</t>
  </si>
  <si>
    <t>nomvula.shelembe@gmail.com</t>
  </si>
  <si>
    <t>Paul Gronebaum</t>
  </si>
  <si>
    <t xml:space="preserve">OHM008              </t>
  </si>
  <si>
    <t>8</t>
  </si>
  <si>
    <t>060 656 9205</t>
  </si>
  <si>
    <t>Bheki &amp; Nthabiseng Malinga</t>
  </si>
  <si>
    <t xml:space="preserve">NEL088              </t>
  </si>
  <si>
    <t>88b</t>
  </si>
  <si>
    <t>076 358 8912</t>
  </si>
  <si>
    <t>nthabiseng.kunene@gmail.com</t>
  </si>
  <si>
    <t>Anthony Byrne</t>
  </si>
  <si>
    <t>BLG08A</t>
  </si>
  <si>
    <t>8a</t>
  </si>
  <si>
    <t>Lesley Visser</t>
  </si>
  <si>
    <t xml:space="preserve">1ST009              </t>
  </si>
  <si>
    <t>083 469 7838</t>
  </si>
  <si>
    <t>083 363 7761</t>
  </si>
  <si>
    <t>midvaalward7@gmail.com</t>
  </si>
  <si>
    <t>Christine Russell</t>
  </si>
  <si>
    <t>062 517 2005</t>
  </si>
  <si>
    <t>christinerussell1581@gmail.com</t>
  </si>
  <si>
    <t>Musa Thumba</t>
  </si>
  <si>
    <t>91/92</t>
  </si>
  <si>
    <t>062 479 9116</t>
  </si>
  <si>
    <t>Deirdre Benade</t>
  </si>
  <si>
    <t>97b</t>
  </si>
  <si>
    <t>081 419 4592</t>
  </si>
  <si>
    <t>Ryan</t>
  </si>
  <si>
    <t>079 508 2383</t>
  </si>
  <si>
    <t>Keryn</t>
  </si>
  <si>
    <t>071 484 0158</t>
  </si>
  <si>
    <t>kerynroos@hotmail.co.za</t>
  </si>
  <si>
    <t>Damaskus Projects</t>
  </si>
  <si>
    <t>Van Niekerk</t>
  </si>
  <si>
    <t>Byron Nel Street</t>
  </si>
  <si>
    <t>BlgN15F</t>
  </si>
  <si>
    <t>MCAA — Bank Statement Register  |  Capitec Business 1007012625  |  Mar–Apr 2026</t>
  </si>
  <si>
    <t>Money In (R)</t>
  </si>
  <si>
    <t>Money Out (R)</t>
  </si>
  <si>
    <t>Fee (R)</t>
  </si>
  <si>
    <t>Balance (R)</t>
  </si>
  <si>
    <t>Address / Plot</t>
  </si>
  <si>
    <t>D/O Type</t>
  </si>
  <si>
    <t xml:space="preserve">  March 2026  |  Opening balance: R18,210.90</t>
  </si>
  <si>
    <t>Mar-26</t>
  </si>
  <si>
    <t>De Wet Street | Plot 116</t>
  </si>
  <si>
    <t>Golf Course Road | Plot 87</t>
  </si>
  <si>
    <t>Nico Pelser | Plot 62</t>
  </si>
  <si>
    <t>Blignaut Street | Plot 11</t>
  </si>
  <si>
    <t>First Avenue | Plot 37</t>
  </si>
  <si>
    <t>CAPITEC B MCA1 03-26</t>
  </si>
  <si>
    <t>Bank fee</t>
  </si>
  <si>
    <t>Road No 7 | Plot 248/1</t>
  </si>
  <si>
    <t>Road No 7 | Plot 153</t>
  </si>
  <si>
    <t>JLK MCAA</t>
  </si>
  <si>
    <t>Expense — RTC/other</t>
  </si>
  <si>
    <t>MR SN LANGA MCAA Water</t>
  </si>
  <si>
    <t>Expense — Water</t>
  </si>
  <si>
    <t>Road No 7  (No Name) | Plot 148/1</t>
  </si>
  <si>
    <t>001 UNPAIDS/WEIERINGS CAPITEC</t>
  </si>
  <si>
    <t>Reversal/Unpaid DO</t>
  </si>
  <si>
    <t>Reversal</t>
  </si>
  <si>
    <t>Road No 7 | Plot 244</t>
  </si>
  <si>
    <t>Golf Course Road | Plot 85</t>
  </si>
  <si>
    <t>GOL085</t>
  </si>
  <si>
    <t>Eeufees Street | Plot 69</t>
  </si>
  <si>
    <t>Danie Theron | Plot 82</t>
  </si>
  <si>
    <t>ABSA BANK PLOT82BLIGNAUTSRUS</t>
  </si>
  <si>
    <t>Eloff Street | Plot 57</t>
  </si>
  <si>
    <t>BLG057</t>
  </si>
  <si>
    <t>Golf Course Road | Plot 74</t>
  </si>
  <si>
    <t>GOL074</t>
  </si>
  <si>
    <t>Nel Street | Plot 94</t>
  </si>
  <si>
    <t>NEL094</t>
  </si>
  <si>
    <t>Eloff Street | Plot 38</t>
  </si>
  <si>
    <t>ELO038</t>
  </si>
  <si>
    <t>Danie Theron | Plot 9</t>
  </si>
  <si>
    <t>Nico Pelser | Plot 58</t>
  </si>
  <si>
    <t>Eloff Street | Plot 55</t>
  </si>
  <si>
    <t>Nel Street | Plot 83</t>
  </si>
  <si>
    <t>Nel Street | Plot 100</t>
  </si>
  <si>
    <t>PLOT 100 NEL CAMERAS</t>
  </si>
  <si>
    <t>Fifth Street | Plot 19</t>
  </si>
  <si>
    <t>GLV019</t>
  </si>
  <si>
    <t>Nel Street | Plot 90</t>
  </si>
  <si>
    <t>Hillside Road | Plot 57</t>
  </si>
  <si>
    <t>Nel Street | Plot 92</t>
  </si>
  <si>
    <t>Second Ave. | Plot 42</t>
  </si>
  <si>
    <t>Orchard Road | Plot 100</t>
  </si>
  <si>
    <t>Danie Theron | Plot 10</t>
  </si>
  <si>
    <t>Nico Pelser | Plot 66</t>
  </si>
  <si>
    <t>BLG 066</t>
  </si>
  <si>
    <t>First Avenue | Plot 41</t>
  </si>
  <si>
    <t>Eloff Street | Plot 45</t>
  </si>
  <si>
    <t>Eloff Street | Plot 30</t>
  </si>
  <si>
    <t>Mengo Sibanda MCAA</t>
  </si>
  <si>
    <t>Expense — Salary</t>
  </si>
  <si>
    <t>Salary — Mengo Sibanda</t>
  </si>
  <si>
    <t>LUKA MCAA FENCE</t>
  </si>
  <si>
    <t>Expense — Maintenance</t>
  </si>
  <si>
    <t>Maintenance — fence repair</t>
  </si>
  <si>
    <t>De Wet Street | Plot 110</t>
  </si>
  <si>
    <t>Green Road | Plot 37</t>
  </si>
  <si>
    <t>Nel Street | Plot 96</t>
  </si>
  <si>
    <t>First Avenue | Plot 43</t>
  </si>
  <si>
    <t>De Wet Street | Plot 108</t>
  </si>
  <si>
    <t>Nico Pelser | Plot 65</t>
  </si>
  <si>
    <t>NIC065</t>
  </si>
  <si>
    <t>Eeufees Street | Plot 46</t>
  </si>
  <si>
    <t>HAR046</t>
  </si>
  <si>
    <t>Nel Street | Plot 70</t>
  </si>
  <si>
    <t>Nel Street | Plot 88</t>
  </si>
  <si>
    <t>De Wet Street | Plot 91</t>
  </si>
  <si>
    <t>BLG091</t>
  </si>
  <si>
    <t>001 UNPAIDS/WEIERINGS DISC</t>
  </si>
  <si>
    <t>29/03/2026</t>
  </si>
  <si>
    <t>Eloff Street | Plot 59</t>
  </si>
  <si>
    <t>ELO059</t>
  </si>
  <si>
    <t>Green Road | Plot 39</t>
  </si>
  <si>
    <t>TARY DESIGN MCAA</t>
  </si>
  <si>
    <t>Expense — Camera purchase</t>
  </si>
  <si>
    <t>Camera purchase — Tary Design</t>
  </si>
  <si>
    <t>Short Road | Plot 77</t>
  </si>
  <si>
    <t>Golf Course Road | Plot 79</t>
  </si>
  <si>
    <t>Month S/Fee</t>
  </si>
  <si>
    <t xml:space="preserve">  Subtotals — March 2026</t>
  </si>
  <si>
    <t xml:space="preserve">  April 2026  |  Opening balance: R42,267.90</t>
  </si>
  <si>
    <t>Apr-26</t>
  </si>
  <si>
    <t>MIDVILLECACONTRAEAC59369A3513C</t>
  </si>
  <si>
    <t>Inward EFT Credit</t>
  </si>
  <si>
    <t>DO</t>
  </si>
  <si>
    <t>Capitec DO batch — distributed to D/O members</t>
  </si>
  <si>
    <t>Retail Cr Transfer</t>
  </si>
  <si>
    <t>CAPITEC B MCA1 04-26</t>
  </si>
  <si>
    <t>Debit Order</t>
  </si>
  <si>
    <t>Expense</t>
  </si>
  <si>
    <t>DO service charge</t>
  </si>
  <si>
    <t>MIDVILLECACONTRAEEC49367AA503E</t>
  </si>
  <si>
    <t>Red Hot Bit Consultants MCAA To 62847482669</t>
  </si>
  <si>
    <t>Outward EFT</t>
  </si>
  <si>
    <t>Unclassified outgoing</t>
  </si>
  <si>
    <t>Standalone camera sponsor: Fifth Street</t>
  </si>
  <si>
    <t>MIDVILLECACONTRAE8C59A6DA25E31</t>
  </si>
  <si>
    <t>RPP Inward Credit</t>
  </si>
  <si>
    <t>J. O'Shea</t>
  </si>
  <si>
    <t>Unresolved — not in database</t>
  </si>
  <si>
    <t>MIDVILLECACONTRAEFC19A67A75E31</t>
  </si>
  <si>
    <t>JIMMY GAMA - CAMERAS</t>
  </si>
  <si>
    <t>Camera keyword — member not identified</t>
  </si>
  <si>
    <t>Second Avenue | Plot 40</t>
  </si>
  <si>
    <t>13/04/2026</t>
  </si>
  <si>
    <t>14/04/2026</t>
  </si>
  <si>
    <t>TARY DESIGN MCAA To 62012661238</t>
  </si>
  <si>
    <t>Camera equipment — Tary Design</t>
  </si>
  <si>
    <t>MIDVILLECACONTRAE8CE9866AA5531</t>
  </si>
  <si>
    <t>16/04/2026</t>
  </si>
  <si>
    <t>EFT/Offsite Dep Rev</t>
  </si>
  <si>
    <t>Unpaid DO reversal</t>
  </si>
  <si>
    <t>17/04/2026</t>
  </si>
  <si>
    <t>21/04/2026</t>
  </si>
  <si>
    <t>MIDVILLECACONTRAEEC2986AA5553C</t>
  </si>
  <si>
    <t>RTC Debit</t>
  </si>
  <si>
    <t>Monthly salary — Mengo Sibanda</t>
  </si>
  <si>
    <t>Fence repair — Luka</t>
  </si>
  <si>
    <t>RTC deposit</t>
  </si>
  <si>
    <t>MIDVILLECACONTRAEEC1986FA75639</t>
  </si>
  <si>
    <t>Standalone camera sponsor</t>
  </si>
  <si>
    <t>Monthly account fee</t>
  </si>
  <si>
    <t xml:space="preserve">  Subtotals — April 2026</t>
  </si>
  <si>
    <t xml:space="preserve">  May 2026  |  Opening balance: R41,560.29</t>
  </si>
  <si>
    <t>May-26</t>
  </si>
  <si>
    <t>MIDVILLECACONTRAE9C5936DAB513E</t>
  </si>
  <si>
    <t>DO Batch</t>
  </si>
  <si>
    <t>Debit transaction</t>
  </si>
  <si>
    <t>Utilities</t>
  </si>
  <si>
    <t>CAPITEC B MCA1 05-26</t>
  </si>
  <si>
    <t>001 UNPAIDS/WEIERINGS STANDARD</t>
  </si>
  <si>
    <t>EFT – Unmatched</t>
  </si>
  <si>
    <t>ATM Cash Deposit</t>
  </si>
  <si>
    <t>09/05/2026</t>
  </si>
  <si>
    <t>Camera purchase</t>
  </si>
  <si>
    <t>Reimbursement Nel St Camera refund</t>
  </si>
  <si>
    <t>Camera refund</t>
  </si>
  <si>
    <t>12/05/2026</t>
  </si>
  <si>
    <t>15/05/2026</t>
  </si>
  <si>
    <t>EFT – Reversed</t>
  </si>
  <si>
    <t>16/05/2026</t>
  </si>
  <si>
    <t>18/05/2026</t>
  </si>
  <si>
    <t>MIDVILLECACONTRAECC0936BA7513A</t>
  </si>
  <si>
    <t>21/05/2026</t>
  </si>
  <si>
    <t>22/05/2026</t>
  </si>
  <si>
    <t>MIDVILLECACONTRAEBC7996DA5553E</t>
  </si>
  <si>
    <t>Maintenance</t>
  </si>
  <si>
    <t>Salary</t>
  </si>
  <si>
    <t>MIDVILLECACONTRAECC49E69A0543B</t>
  </si>
  <si>
    <t>MIDVILLECACONTRAE5C69269A35530</t>
  </si>
  <si>
    <t>Camera Sponsor</t>
  </si>
  <si>
    <t>31/05/2026</t>
  </si>
  <si>
    <t xml:space="preserve">  Subtotals — May 2026</t>
  </si>
  <si>
    <t>MCAA — Bank Reconciliation  |  Capitec Business 1007012625</t>
  </si>
  <si>
    <t xml:space="preserve">  March 2026  |  02 March – 31 March 2026</t>
  </si>
  <si>
    <t>Item</t>
  </si>
  <si>
    <t>Txns</t>
  </si>
  <si>
    <t>INCOME</t>
  </si>
  <si>
    <t>Membership — Debit Orders</t>
  </si>
  <si>
    <t>Membership — EFT (individual transfers)</t>
  </si>
  <si>
    <t>Camera payments — members</t>
  </si>
  <si>
    <t>Camera payments — sponsors</t>
  </si>
  <si>
    <t>TOTAL INCOME</t>
  </si>
  <si>
    <t>EXPENSES</t>
  </si>
  <si>
    <t>Maintenance — Fence repair (Luka)</t>
  </si>
  <si>
    <t>Utilities — Water MR SN LANGA (x2)</t>
  </si>
  <si>
    <t>Other — JLK MCAA</t>
  </si>
  <si>
    <t>Bank fees &amp; DO service charge</t>
  </si>
  <si>
    <t>Reversals / Unpaid DOs (Weierings)</t>
  </si>
  <si>
    <t>TOTAL EXPENSES</t>
  </si>
  <si>
    <t>BALANCE CHECK</t>
  </si>
  <si>
    <t>Opening balance (01 Mar 2026)</t>
  </si>
  <si>
    <t>+ Total money in</t>
  </si>
  <si>
    <t>− Total money out</t>
  </si>
  <si>
    <t>Calculated closing balance</t>
  </si>
  <si>
    <t>Actual closing balance (statement)</t>
  </si>
  <si>
    <t>Difference (should = 0)</t>
  </si>
  <si>
    <t xml:space="preserve">  Note: R26 difference — minor rounding across DO batch allocations. Under investigation.</t>
  </si>
  <si>
    <t xml:space="preserve">  April 2026  |  01 April – 30 April 2026</t>
  </si>
  <si>
    <t>Membership — Debit Orders (allocated)</t>
  </si>
  <si>
    <t>DO batch actual received (unallocated R370)</t>
  </si>
  <si>
    <t>TOTAL CREDITS</t>
  </si>
  <si>
    <t>Bank fee — DO service charge (01/04)</t>
  </si>
  <si>
    <t>Other — Red Hot Bit Consultants (02/04)</t>
  </si>
  <si>
    <t>Camera purchase — Tary Design (14/04)</t>
  </si>
  <si>
    <t>Reversal — Weierings Capitec (16/04)</t>
  </si>
  <si>
    <t>Salary — Mengo Sibanda (27/04)</t>
  </si>
  <si>
    <t>Maintenance — Fence repair Luka (27/04)</t>
  </si>
  <si>
    <t>Reversal — Weierings Disc (29/04)</t>
  </si>
  <si>
    <t>Bank fee — Monthly account fee (30/04)</t>
  </si>
  <si>
    <t>Opening balance (01 Apr 2026)</t>
  </si>
  <si>
    <t>+ Total credits</t>
  </si>
  <si>
    <t>− Total expenses/debits</t>
  </si>
  <si>
    <t>Balance check</t>
  </si>
  <si>
    <t>PASS</t>
  </si>
  <si>
    <t xml:space="preserve">  May 2026  |  01 May — 31 May 2026</t>
  </si>
  <si>
    <t xml:space="preserve">  Debit Order batch (MIDVILLECACONTRA)</t>
  </si>
  <si>
    <t xml:space="preserve">  EFT — membership payments (matched)</t>
  </si>
  <si>
    <t xml:space="preserve">  Camera — member contributions</t>
  </si>
  <si>
    <t xml:space="preserve">  Camera — sponsors (rows 530-534)</t>
  </si>
  <si>
    <t xml:space="preserve">  EFT — unmatched (pending review)</t>
  </si>
  <si>
    <t xml:space="preserve">  EFT — reversed (G. van Jaarsveld 15/05, reversed 16/05)</t>
  </si>
  <si>
    <t xml:space="preserve">  Utilities — Water/utilities – MR SN Langa (02/05/2026)</t>
  </si>
  <si>
    <t xml:space="preserve">  Bank fee — DO service charge – Capitec (04/05/2026)</t>
  </si>
  <si>
    <t xml:space="preserve">  Reversal — Unpaid DO reversal – R350 (member unknown, bounced at Standard Bank) (04/05/2026)</t>
  </si>
  <si>
    <t xml:space="preserve">  Camera purchase — Camera equipment – Tary Design (09/05/2026)</t>
  </si>
  <si>
    <t xml:space="preserve">  Camera refund — Nel Street camera refund payment (09/05/2026)</t>
  </si>
  <si>
    <t xml:space="preserve">  Reversal — EFT reversal – G (16/05/2026)</t>
  </si>
  <si>
    <t xml:space="preserve">  Maintenance — Fence repair – Luka (25/05/2026)</t>
  </si>
  <si>
    <t xml:space="preserve">  Salary — Monthly salary – Mengo Sibanda (25/05/2026)</t>
  </si>
  <si>
    <t xml:space="preserve">  Bank fee — ATM cash deposit fees: R22 (29/05/2026)</t>
  </si>
  <si>
    <t xml:space="preserve">  Bank fee — Monthly account fee (31/05/2026)</t>
  </si>
  <si>
    <t xml:space="preserve">  Opening balance (01 May 2026)</t>
  </si>
  <si>
    <t xml:space="preserve">  + Total credits</t>
  </si>
  <si>
    <t xml:space="preserve">  − Total expenses/debits</t>
  </si>
  <si>
    <t xml:space="preserve">  Calculated closing balance</t>
  </si>
  <si>
    <t xml:space="preserve">  Actual closing balance (statement)</t>
  </si>
  <si>
    <t xml:space="preserve">  Balance check</t>
  </si>
  <si>
    <t>NOTES</t>
  </si>
  <si>
    <t xml:space="preserve">  DO batch total (R19,805) vs Apr-26 DO schedule (R19,625) = +R180 discrepancy. One DO bounced (R350, WEIERINGS STANDARD, member unknown). Net DO collected R19,455.</t>
  </si>
  <si>
    <t xml:space="preserve">  GERALDINE EVANS (x2, R400 total): member not found in Comprehensive list. Refer to administrator.</t>
  </si>
  <si>
    <t xml:space="preserve">  ABSA BANK Joseph 98 (R500): partial name match only. Refer to administrator.</t>
  </si>
  <si>
    <t xml:space="preserve">  G. van Jaarsveld (R170): EFT received 15/05, reversed 16/05 – NOT credited as payment for May.</t>
  </si>
  <si>
    <t>Reference (bank)</t>
  </si>
  <si>
    <t>Water — MR SN LANGA</t>
  </si>
  <si>
    <t>MARCH 2026 TOTAL</t>
  </si>
  <si>
    <t xml:space="preserve">  April 2026</t>
  </si>
  <si>
    <t>Red Hot Bit Consultants MCAA</t>
  </si>
  <si>
    <t>Other</t>
  </si>
  <si>
    <t>Unclassified outgoing — verify with admin</t>
  </si>
  <si>
    <t>Unpaid DO reversal — R170</t>
  </si>
  <si>
    <t>Unpaid DO reversal — R350</t>
  </si>
  <si>
    <t>APRIL 2026 TOTAL</t>
  </si>
  <si>
    <t xml:space="preserve">  May 2026</t>
  </si>
  <si>
    <t>Water/utilities – MR SN Langa. Incl R1 fee.</t>
  </si>
  <si>
    <t>DO service charge – Capitec</t>
  </si>
  <si>
    <t>Unpaid DO reversal – R350 (member unknown, bounced at Standard Bank)</t>
  </si>
  <si>
    <t>Camera equipment – Tary Design. Incl R2 fee.</t>
  </si>
  <si>
    <t>Nel Street camera refund payment. Incl R2 fee.</t>
  </si>
  <si>
    <t>EFT reversal – G. van Jaarsveld (87 Golf Course) – Capitec reject</t>
  </si>
  <si>
    <t>Fence repair – Luka. Incl R2 fee.</t>
  </si>
  <si>
    <t>Monthly salary – Mengo Sibanda. Incl R2 fee.</t>
  </si>
  <si>
    <t>ATM fees (54 Nico Pelser + NEL ST ANDREW)</t>
  </si>
  <si>
    <t>ATM cash deposit fees: R22.40 + R7.14</t>
  </si>
  <si>
    <t>MAY 2026 TOTAL</t>
  </si>
  <si>
    <t>GRAND TOTAL (Mar + Apr + May)</t>
  </si>
  <si>
    <t>MCAA MEMBERSHIP — PAYMENT OVERVIEW</t>
  </si>
  <si>
    <t>Mar 2025 – May 2026  |  Comprehensive List Analysis</t>
  </si>
  <si>
    <t>MEMBERSHIP SNAPSHOT</t>
  </si>
  <si>
    <t>Total entries on list</t>
  </si>
  <si>
    <t>Paying members</t>
  </si>
  <si>
    <t>Non-paying members</t>
  </si>
  <si>
    <t>Unique plot numbers</t>
  </si>
  <si>
    <t>Plots with multiple entries</t>
  </si>
  <si>
    <t>Total revenue collected (R)</t>
  </si>
  <si>
    <t>401 members have made no payments this year.</t>
  </si>
  <si>
    <t>MONTHLY COLLECTIONS</t>
  </si>
  <si>
    <t>Total Collected (R)</t>
  </si>
  <si>
    <t>MCAA — MEMBERS PAYMENT DETAIL REPORT</t>
  </si>
  <si>
    <t>Mar 2025 – Apr 2026  |  Rows highlighted in red = zero payments recorded this year</t>
  </si>
  <si>
    <t>✅  PAYING MEMBERS</t>
  </si>
  <si>
    <t>Street / Address</t>
  </si>
  <si>
    <t>Total Paid (R)</t>
  </si>
  <si>
    <t>Source (D/O or EFT)</t>
  </si>
  <si>
    <t>TOTAL PAYING</t>
  </si>
  <si>
    <t>❌  NON-PAYING MEMBERS</t>
  </si>
  <si>
    <t>Status</t>
  </si>
  <si>
    <t>No payment recorded</t>
  </si>
  <si>
    <t>Peter</t>
  </si>
  <si>
    <t>Fred</t>
  </si>
  <si>
    <t>Daphne Pereira</t>
  </si>
  <si>
    <t>Vacant / Empty</t>
  </si>
  <si>
    <t>Emmanual</t>
  </si>
  <si>
    <t>Karen</t>
  </si>
  <si>
    <t>Martin Gee</t>
  </si>
  <si>
    <t>Keketso Mahlangu</t>
  </si>
  <si>
    <t>Neil</t>
  </si>
  <si>
    <t>TOTAL NON-PAYING: 401</t>
  </si>
  <si>
    <t>🏠  PLOTS WITH MULTIPLE ENTRIES (same plot, multiple owners/tenants)</t>
  </si>
  <si>
    <t>Owners / Tenants Listed</t>
  </si>
  <si>
    <t>Any Payment?</t>
  </si>
  <si>
    <t>Jason Batalides, Thom Khosa</t>
  </si>
  <si>
    <t>Yes</t>
  </si>
  <si>
    <t>S.Potgieter, Emmanual</t>
  </si>
  <si>
    <t>No</t>
  </si>
  <si>
    <t>Greg Stevens, Sim Mdab, Thom Khosa?</t>
  </si>
  <si>
    <t>Graham and Alison Webster, Rowan De Viliers, Dom Jacob</t>
  </si>
  <si>
    <t>John, Karen, Beverley Stevens-King, Phumzile Bango, Nkosana Ngobese, Sefore Pitso-Setere, Jonathan</t>
  </si>
  <si>
    <t>Nomvula Shelembe, Matthew, Eugene</t>
  </si>
  <si>
    <t>Paul Gronebaum, Desire (Girls on the Move), Sibosisu Kheswa, Robin Dryburgh</t>
  </si>
  <si>
    <t>Miroslaw Benpkavic, Lesley Visser, Christine Russell</t>
  </si>
  <si>
    <t>Ian Long, Heinrich Hendrikz, Jabulusile Shandu, Byron Canham</t>
  </si>
  <si>
    <t>John Carr, John &amp; Jennifer Carr, VACANT, Adams</t>
  </si>
  <si>
    <t>Nkosinomusa Mpanza, Russell Warden, Millicent, Tshepo Makoti, Jessica</t>
  </si>
  <si>
    <t>Lele Pedroncelli, Johnny Fisher, Fanie</t>
  </si>
  <si>
    <t>Colin Blandford, Patrick Mudhara, Darren Lester Harris, Thami Ndlovu</t>
  </si>
  <si>
    <t>Conrad, Alistair Leukes, Arnold Williams, Ncedo Vilakazi</t>
  </si>
  <si>
    <t>Maureen Mhlongo, Abbeyfield</t>
  </si>
  <si>
    <t>Jeremy, Karel</t>
  </si>
  <si>
    <t>Pieter Fourie, Stephanie Fourie</t>
  </si>
  <si>
    <t>Andrew &amp; Robyn Weeks, Lune Weeks, Angel Motloi, Minnie</t>
  </si>
  <si>
    <t>E Nesbitt, Abrahams, Mariola Otomanska</t>
  </si>
  <si>
    <t>Brian, Selway, Carien Abrahams, Rene, Faith, David Sibanda, Sandile Mbanjwa, Faith Abrahams</t>
  </si>
  <si>
    <t>Thembani Furumele, Quintus, Leon Janse Van Vuuren</t>
  </si>
  <si>
    <t>K. Aboobaker, Caid Schoeman, Terence Du Preeze</t>
  </si>
  <si>
    <t>Kelvin Grobler, Alan &amp; Louise Proudfoot, Angela Proudfoot, Alex Klein, May Lyna/ Judith, Chevis Coetzee</t>
  </si>
  <si>
    <t>Derek, Sonia Meysel, Nina van der Walt, Glenda, Ralf Meysel</t>
  </si>
  <si>
    <t>Vusi &amp; Lebogang Mojapelo, Smith Mangena, Philip, Tshepang Mpitse, Clint Jardine</t>
  </si>
  <si>
    <t>Candice Smith, Annushka Rooza, St. Francis Church, Rochelle Campbell, Shannon Davids, Neil Johnson</t>
  </si>
  <si>
    <t>Frank Duvenhage, Fred, John Hall</t>
  </si>
  <si>
    <t>Haydrine Waveley, Khanyisile Kama, Mel Nkosi</t>
  </si>
  <si>
    <t>Kim Baker, Thembisile Mazibuko</t>
  </si>
  <si>
    <t>Lendl Preston, Anthony &amp; Cameron Cox, Unknown</t>
  </si>
  <si>
    <t>Justice &amp; Nozipho Makhado, Godfrey Berry, Msibi, Palesa</t>
  </si>
  <si>
    <t>Tom Pearson, Peter Kairuz, David, Tanya, Mark Thompson, Kuwut Herbst, AF Campbell</t>
  </si>
  <si>
    <t>Bunty &amp; Lindsay Coryndon-Baker, Leticia &amp; Bennie Mommen, Irshaad / Ayesha, Stone Hedge</t>
  </si>
  <si>
    <t>Ramushu - Catholic Church, Jose Pinto, Belinda Groenewald, Hischiff Groenewald, Steven Pretorius, Sisa Majilajela</t>
  </si>
  <si>
    <t>Bonfale Muchono, Billy Meysel, B Meysel, Ian Yellowley, T Magua, Richard Shearer, Susan Shearer</t>
  </si>
  <si>
    <t>Steve Messenger/Juanita, Jimmy, Laurie Boycan Hoffman</t>
  </si>
  <si>
    <t>Greg and Paula Peters, M September, Pastor B, Dirk Louw, Rob Roos, Celeste Webster, Greg Erasmus, Robert</t>
  </si>
  <si>
    <t>Eddy Strauss, Shaun Traut, Jade</t>
  </si>
  <si>
    <t>Nathan Cooks, Cayden Le Roux</t>
  </si>
  <si>
    <t>Mpho Thanjekwayo, Mrs. J de Lange</t>
  </si>
  <si>
    <t>Thulani Khanyile, Khanyile Busisiwe, Sean Dauberman, Glynis Louw, John Louw, Estelle Gouws, Rassie and Bella, Gordon Kairuz and Nicole Gouws, Bev Prins</t>
  </si>
  <si>
    <t>Lidia Bukes, Mervin Smit, Lindie Plaatjies, Raymond Poonen, Mrs DE Hahn, Victor Petrus, Sasha Holland, Pearl Holland</t>
  </si>
  <si>
    <t>Clinton Fortuin, Darren Booysen, Stella Nemafukani, Khumalo Stuart, Katelyn, Forsman, L Turner, Perfect Zama Ndlovu (Security), David Lewis</t>
  </si>
  <si>
    <t>Makhotso, Ratheo Molebatsi, Bruce Magill, Louis Mathew, Church, Romias Ngzularto</t>
  </si>
  <si>
    <t>Katlego Matthews, Silvan, Chris and Bernadette Momple, Caleb Daniels, Yolundie Danies</t>
  </si>
  <si>
    <t>Sarita, Leo van Niel, Janos Herceg, K.L Due Preez, Options (Pty)Ltd, Daphne Pereira, Jorge Perreira, K.L Due Preez, Stephenie Herceg</t>
  </si>
  <si>
    <t>KM Makhubo, Sylvia, Brandon Koegelenberg, Angelo Pereira, Tino Windhill, C Windhill, Empty plot? - still building</t>
  </si>
  <si>
    <t>DF Bukes (Niel), China, Eschelle Wathen, Martin Gee, Kevin Gee</t>
  </si>
  <si>
    <t>Chris Swanepoel, Tashinga/Millicent Nkosi, Buhle Mbatha, Richard and Pumla Mashele, Johan Swanepoel</t>
  </si>
  <si>
    <t>William Jackson, Zainub, Zainab Khoele, Banele Mahlangu, Kagiso Mahlangu, Keketso Mahlangu</t>
  </si>
  <si>
    <t>MCAA Street Captains</t>
  </si>
  <si>
    <t>4 of 8</t>
  </si>
  <si>
    <t>7 of 17</t>
  </si>
  <si>
    <t>7 of 19</t>
  </si>
  <si>
    <t>1 of 5</t>
  </si>
  <si>
    <t>Eufees Street</t>
  </si>
  <si>
    <t>rolfhanswillenbrock@gmail.com</t>
  </si>
  <si>
    <t>083 463 6402</t>
  </si>
  <si>
    <t>2 of 11</t>
  </si>
  <si>
    <t>5 of 21</t>
  </si>
  <si>
    <t>9 of 30</t>
  </si>
  <si>
    <t>kevin@camerapress.co.za</t>
  </si>
  <si>
    <t>9 of 26</t>
  </si>
  <si>
    <t>4 of 14</t>
  </si>
  <si>
    <t>Jamesaowens@gmail.com</t>
  </si>
  <si>
    <t>0836557792</t>
  </si>
  <si>
    <t>5 of 27</t>
  </si>
  <si>
    <t>0 of 12</t>
  </si>
  <si>
    <t>cliff@paradigmprint.co.za</t>
  </si>
  <si>
    <t>082 571 5142</t>
  </si>
  <si>
    <t>4 of 16</t>
  </si>
  <si>
    <t>Nico Pelser/Fourth St.</t>
  </si>
  <si>
    <t>Lottreauxpaul@gmail.com</t>
  </si>
  <si>
    <t>3 of 26</t>
  </si>
  <si>
    <t>1 of 19</t>
  </si>
  <si>
    <t>Chris@cai.co.za</t>
  </si>
  <si>
    <t>1 of 14</t>
  </si>
  <si>
    <t>2 of 18</t>
  </si>
  <si>
    <t>zamohr@gmail.com</t>
  </si>
  <si>
    <t>3 of 17</t>
  </si>
  <si>
    <t>1 of 13</t>
  </si>
  <si>
    <t>Comments Sep</t>
  </si>
  <si>
    <t>Jan-25 DO</t>
  </si>
  <si>
    <t>Jan-25 EFT</t>
  </si>
  <si>
    <t>Feb-25 DO</t>
  </si>
  <si>
    <t>Feb-25 EFT</t>
  </si>
  <si>
    <t>HZB038 = D/O ref</t>
  </si>
  <si>
    <t>Wants to start paying end Jan</t>
  </si>
  <si>
    <t>New Jul25</t>
  </si>
  <si>
    <t>1</t>
  </si>
  <si>
    <t>011 730 8031</t>
  </si>
  <si>
    <t>9b</t>
  </si>
  <si>
    <t>Ncedo Vilikati</t>
  </si>
  <si>
    <t>21</t>
  </si>
  <si>
    <t>23</t>
  </si>
  <si>
    <t>Bal b/fwd</t>
  </si>
  <si>
    <t>Bal B/fwd</t>
  </si>
  <si>
    <t xml:space="preserve">Add D/Orders  </t>
  </si>
  <si>
    <t>Add EFTs</t>
  </si>
  <si>
    <t>1st Ave gate contribution</t>
  </si>
  <si>
    <t>10/10 Saxmoore for Bnorth</t>
  </si>
  <si>
    <t>Luka work</t>
  </si>
  <si>
    <t>Bal 31/1</t>
  </si>
  <si>
    <t>Bal 28/2</t>
  </si>
  <si>
    <t>Bal 31/3</t>
  </si>
  <si>
    <t>Bal 30/4</t>
  </si>
  <si>
    <t>Bal 31/5</t>
  </si>
  <si>
    <t>Bal 30/6</t>
  </si>
  <si>
    <t>Bal 31/7</t>
  </si>
  <si>
    <t>Bal 31/8</t>
  </si>
  <si>
    <t>Bal 30/9</t>
  </si>
  <si>
    <t>Bal 31/10</t>
  </si>
  <si>
    <t>Bal 30/11</t>
  </si>
  <si>
    <t>Bal 31/12</t>
  </si>
  <si>
    <t>Sample of how to load on old Mercantile system - see below snip</t>
  </si>
  <si>
    <t>Capitec supp</t>
  </si>
  <si>
    <t>021 137 6818</t>
  </si>
  <si>
    <t>Print financial reports which has all info including unpaid debit orders for recon</t>
  </si>
  <si>
    <t>User Paul - MCA1 - Sharon**9</t>
  </si>
  <si>
    <t>https://ebureau.mercantile.co.za/meb3/online/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</si>
</sst>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\-mmm"/>
    <numFmt numFmtId="165" formatCode="&quot;R &quot;#,##0.00"/>
    <numFmt numFmtId="166" formatCode="_-* #,##0.00_-;\-* #,##0.00_-;_-* \-??_-;_-@_-"/>
    <numFmt numFmtId="167" formatCode="dd/mm/yyyy"/>
    <numFmt numFmtId="168" formatCode="#,##0.00_ ;[Red]\-#,##0.00\ "/>
    <numFmt numFmtId="169" formatCode="0.00_ ;[Red]\-0.00\ "/>
    <numFmt numFmtId="170" formatCode="_-[$R-1C09]* #,##0.00_-;\-[$R-1C09]* #,##0.00_-;_-[$R-1C09]* &quot;-&quot;??_-;_-@_-"/>
    <numFmt numFmtId="171" formatCode="&quot;R &quot;#,##0"/>
    <numFmt numFmtId="172" formatCode="0.0%"/>
    <numFmt numFmtId="173" formatCode="\R\ #,##0.00"/>
    <numFmt numFmtId="174" formatCode="yyyy\-mm\-dd\ h:mm:ss"/>
  </numFmts>
  <fonts count="8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u/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155724"/>
      <name val="Arial"/>
      <charset val="1"/>
    </font>
    <font>
      <sz val="14"/>
      <name val="Calibri"/>
      <charset val="1"/>
    </font>
    <font>
      <u/>
      <sz val="14"/>
      <color rgb="FF2A99E3"/>
      <name val="Calibri"/>
      <family val="2"/>
      <charset val="1"/>
    </font>
    <font>
      <b/>
      <sz val="16"/>
      <color rgb="FFFFFFFF"/>
      <name val="Calibri"/>
      <charset val="1"/>
    </font>
    <font>
      <i/>
      <sz val="14"/>
      <color rgb="FF595959"/>
      <name val="Calibri"/>
      <charset val="1"/>
    </font>
    <font>
      <b/>
      <sz val="12"/>
      <color rgb="FF1F4E79"/>
      <name val="Calibri"/>
      <charset val="1"/>
    </font>
    <font>
      <sz val="14"/>
      <color rgb="FF000000"/>
      <name val="Calibri"/>
      <charset val="1"/>
    </font>
    <font>
      <b/>
      <sz val="14"/>
      <color rgb="FF000000"/>
      <name val="Calibri"/>
      <charset val="1"/>
    </font>
    <font>
      <sz val="14"/>
      <color rgb="FF375623"/>
      <name val="Calibri"/>
      <charset val="1"/>
    </font>
    <font>
      <b/>
      <sz val="14"/>
      <color rgb="FF375623"/>
      <name val="Calibri"/>
      <charset val="1"/>
    </font>
    <font>
      <sz val="14"/>
      <color rgb="FFC00000"/>
      <name val="Calibri"/>
      <charset val="1"/>
    </font>
    <font>
      <b/>
      <sz val="14"/>
      <color rgb="FFC00000"/>
      <name val="Calibri"/>
      <charset val="1"/>
    </font>
    <font>
      <sz val="14"/>
      <color rgb="FF7030A0"/>
      <name val="Calibri"/>
      <charset val="1"/>
    </font>
    <font>
      <b/>
      <sz val="14"/>
      <color rgb="FF7030A0"/>
      <name val="Calibri"/>
      <charset val="1"/>
    </font>
    <font>
      <sz val="14"/>
      <color rgb="FFBF6000"/>
      <name val="Calibri"/>
      <charset val="1"/>
    </font>
    <font>
      <b/>
      <sz val="14"/>
      <color rgb="FFBF6000"/>
      <name val="Calibri"/>
      <charset val="1"/>
    </font>
    <font>
      <sz val="14"/>
      <color rgb="FF1F6B38"/>
      <name val="Calibri"/>
      <charset val="1"/>
    </font>
    <font>
      <b/>
      <sz val="14"/>
      <color rgb="FF1F6B38"/>
      <name val="Calibri"/>
      <charset val="1"/>
    </font>
    <font>
      <b/>
      <sz val="14"/>
      <color rgb="FF1F4E79"/>
      <name val="Calibri"/>
      <charset val="1"/>
    </font>
    <font>
      <b/>
      <sz val="14"/>
      <color rgb="FFFFFFFF"/>
      <name val="Calibri"/>
      <charset val="1"/>
    </font>
    <font>
      <b/>
      <sz val="14"/>
      <name val="Calibri"/>
      <charset val="1"/>
    </font>
    <font>
      <b/>
      <sz val="12"/>
      <color rgb="FF375623"/>
      <name val="Calibri"/>
      <charset val="1"/>
    </font>
    <font>
      <b/>
      <sz val="12"/>
      <color rgb="FFC00000"/>
      <name val="Calibri"/>
      <charset val="1"/>
    </font>
    <font>
      <b/>
      <sz val="12"/>
      <color rgb="FF7030A0"/>
      <name val="Calibri"/>
      <charset val="1"/>
    </font>
    <font>
      <sz val="14"/>
      <name val="Calibri"/>
      <family val="2"/>
      <charset val="1"/>
    </font>
    <font>
      <sz val="7"/>
      <name val="Segoe UI"/>
      <family val="2"/>
      <charset val="1"/>
    </font>
    <font>
      <u/>
      <sz val="11"/>
      <color rgb="FF00B0F0"/>
      <name val="Calibri"/>
      <family val="2"/>
      <charset val="1"/>
    </font>
    <font>
      <u/>
      <sz val="11"/>
      <color rgb="FF2A99E3"/>
      <name val="Calibri"/>
      <family val="2"/>
      <charset val="1"/>
    </font>
    <font>
      <sz val="14"/>
      <color rgb="FFFF0000"/>
      <name val="Calibri"/>
      <family val="2"/>
      <charset val="1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u/>
      <sz val="12"/>
      <color rgb="FF2A99E3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18"/>
      <color rgb="FF1F3864"/>
      <name val="Calibri"/>
      <family val="2"/>
      <charset val="1"/>
    </font>
    <font>
      <i/>
      <sz val="11"/>
      <color rgb="FF555555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20"/>
      <color rgb="FF2E75B6"/>
      <name val="Calibri"/>
      <family val="2"/>
      <charset val="1"/>
    </font>
    <font>
      <b/>
      <sz val="20"/>
      <color rgb="FFC00000"/>
      <name val="Calibri"/>
      <family val="2"/>
      <charset val="1"/>
    </font>
    <font>
      <b/>
      <sz val="20"/>
      <color rgb="FF375623"/>
      <name val="Calibri"/>
      <family val="2"/>
      <charset val="1"/>
    </font>
    <font>
      <b/>
      <sz val="20"/>
      <color rgb="FF7030A0"/>
      <name val="Calibri"/>
      <family val="2"/>
      <charset val="1"/>
    </font>
    <font>
      <b/>
      <sz val="20"/>
      <color rgb="FFBF8F00"/>
      <name val="Calibri"/>
      <family val="2"/>
      <charset val="1"/>
    </font>
    <font>
      <sz val="8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375623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BF8F00"/>
      <name val="Calibri"/>
      <family val="2"/>
      <charset val="1"/>
    </font>
    <font>
      <i/>
      <sz val="11"/>
      <color rgb="FF888888"/>
      <name val="Calibri"/>
      <family val="2"/>
      <charset val="1"/>
    </font>
    <font>
      <i/>
      <sz val="8"/>
      <color rgb="FF888888"/>
      <name val="Calibri"/>
      <family val="2"/>
      <charset val="1"/>
    </font>
    <font>
      <b/>
      <sz val="11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374151"/>
      <name val="Calibri"/>
    </font>
    <font>
      <b/>
      <sz val="9"/>
      <color rgb="FF15803D"/>
      <name val="Calibri"/>
    </font>
    <font>
      <b/>
      <sz val="9"/>
      <color rgb="FFB91C1C"/>
      <name val="Calibri"/>
    </font>
    <font>
      <b/>
      <sz val="9"/>
      <color rgb="FFB45309"/>
      <name val="Calibri"/>
    </font>
    <font>
      <b/>
      <sz val="11"/>
      <color rgb="FFFFFFFF"/>
      <name val="Calibri"/>
    </font>
    <font>
      <b/>
      <sz val="8"/>
      <color rgb="FF6B7280"/>
      <name val="Calibri"/>
    </font>
    <font>
      <b/>
      <sz val="9"/>
      <color rgb="FF000000"/>
      <name val="Calibri"/>
    </font>
    <font>
      <i/>
      <sz val="8"/>
      <color rgb="FFB45309"/>
      <name val="Calibri"/>
    </font>
    <font>
      <b/>
      <sz val="10"/>
      <color rgb="FF15803D"/>
      <name val="Calibri"/>
    </font>
    <font>
      <b/>
      <sz val="10"/>
      <color rgb="FF111827"/>
      <name val="Calibri"/>
    </font>
    <font>
      <b/>
      <sz val="10"/>
      <color rgb="FFB91C1C"/>
      <name val="Calibri"/>
    </font>
    <font>
      <b/>
      <sz val="11"/>
      <name val="Calibri"/>
    </font>
    <font>
      <b/>
      <i/>
      <sz val="11"/>
      <name val="Calibri"/>
    </font>
  </fonts>
  <fills count="53">
    <fill>
      <patternFill patternType="none"/>
    </fill>
    <fill>
      <patternFill patternType="gray125"/>
    </fill>
    <fill>
      <patternFill patternType="solid">
        <fgColor theme="0" tint="-0.249977111117893"/>
        <bgColor rgb="FFCCCCCC"/>
      </patternFill>
    </fill>
    <fill>
      <patternFill patternType="solid">
        <fgColor rgb="FF92D050"/>
        <bgColor rgb="FFBFBFBF"/>
      </patternFill>
    </fill>
    <fill>
      <patternFill patternType="solid">
        <fgColor rgb="FF00B0F0"/>
        <bgColor rgb="FF2A99E3"/>
      </patternFill>
    </fill>
    <fill>
      <patternFill patternType="solid">
        <fgColor rgb="FFFFFF00"/>
        <bgColor rgb="FFFFD580"/>
      </patternFill>
    </fill>
    <fill>
      <patternFill patternType="solid">
        <fgColor rgb="FFFFD580"/>
        <bgColor rgb="FFFFCCCC"/>
      </patternFill>
    </fill>
    <fill>
      <patternFill patternType="solid">
        <fgColor rgb="FFFF33CC"/>
        <bgColor rgb="FFFF00FF"/>
      </patternFill>
    </fill>
    <fill>
      <patternFill patternType="solid">
        <fgColor rgb="FFFFD9D9"/>
        <bgColor rgb="FFF8D7DA"/>
      </patternFill>
    </fill>
    <fill>
      <patternFill patternType="solid">
        <fgColor rgb="FF1A1A2E"/>
        <bgColor rgb="FF16213E"/>
      </patternFill>
    </fill>
    <fill>
      <patternFill patternType="solid">
        <fgColor rgb="FFFFFFFF"/>
        <bgColor rgb="FFF7F9FC"/>
      </patternFill>
    </fill>
    <fill>
      <patternFill patternType="solid">
        <fgColor rgb="FFD4EDDA"/>
        <bgColor rgb="FFD1ECF1"/>
      </patternFill>
    </fill>
    <fill>
      <patternFill patternType="solid">
        <fgColor rgb="FFF7F9FC"/>
        <bgColor rgb="FFFFFFFF"/>
      </patternFill>
    </fill>
    <fill>
      <patternFill patternType="solid">
        <fgColor rgb="FF2D3561"/>
        <bgColor rgb="FF1F4E79"/>
      </patternFill>
    </fill>
    <fill>
      <patternFill patternType="solid">
        <fgColor rgb="FF957F70"/>
        <bgColor rgb="FF856404"/>
      </patternFill>
    </fill>
    <fill>
      <patternFill patternType="solid">
        <fgColor rgb="FF1F4E79"/>
        <bgColor rgb="FF2D3561"/>
      </patternFill>
    </fill>
    <fill>
      <patternFill patternType="solid">
        <fgColor rgb="FFD6E4F0"/>
        <bgColor rgb="FFD1ECF1"/>
      </patternFill>
    </fill>
    <fill>
      <patternFill patternType="solid">
        <fgColor rgb="FFF2F2F2"/>
        <bgColor rgb="FFEDF2F9"/>
      </patternFill>
    </fill>
    <fill>
      <patternFill patternType="solid">
        <fgColor rgb="FFE2EFDA"/>
        <bgColor rgb="FFE8E8E8"/>
      </patternFill>
    </fill>
    <fill>
      <patternFill patternType="solid">
        <fgColor rgb="FFFFE9E9"/>
        <bgColor rgb="FFF2F2F2"/>
      </patternFill>
    </fill>
    <fill>
      <patternFill patternType="solid">
        <fgColor rgb="FFEAD1F5"/>
        <bgColor rgb="FFE8D5F5"/>
      </patternFill>
    </fill>
    <fill>
      <patternFill patternType="solid">
        <fgColor rgb="FFFFF2CC"/>
        <bgColor rgb="FFFFF3CD"/>
      </patternFill>
    </fill>
    <fill>
      <patternFill patternType="solid">
        <fgColor rgb="FFEDF2F9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375623"/>
        <bgColor rgb="FF155724"/>
      </patternFill>
    </fill>
    <fill>
      <patternFill patternType="solid">
        <fgColor rgb="FFC6EFCE"/>
        <bgColor rgb="FFD4EDDA"/>
      </patternFill>
    </fill>
    <fill>
      <patternFill patternType="solid">
        <fgColor rgb="FFFFCCCC"/>
        <bgColor rgb="FFF8D7DA"/>
      </patternFill>
    </fill>
    <fill>
      <patternFill patternType="solid">
        <fgColor rgb="FF7030A0"/>
        <bgColor rgb="FF993366"/>
      </patternFill>
    </fill>
    <fill>
      <patternFill patternType="solid">
        <fgColor theme="0" tint="-0.14999847407452621"/>
        <bgColor rgb="FFD6E4F0"/>
      </patternFill>
    </fill>
    <fill>
      <patternFill patternType="solid">
        <fgColor rgb="FFD6E4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EC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1A"/>
      </patternFill>
    </fill>
    <fill>
      <patternFill patternType="solid">
        <fgColor rgb="FF2D3748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FEF3C7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F3864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1F3864"/>
      </bottom>
      <diagonal/>
    </border>
    <border>
      <left style="thin">
        <color rgb="FF1F3864"/>
      </left>
      <right style="thin">
        <color rgb="FFD0D0D0"/>
      </right>
      <top style="thin">
        <color rgb="FF1F3864"/>
      </top>
      <bottom style="thin">
        <color rgb="FFD0D0D0"/>
      </bottom>
      <diagonal/>
    </border>
    <border>
      <left style="thin">
        <color rgb="FF1F38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F3864"/>
      </left>
      <right style="thin">
        <color rgb="FFD0D0D0"/>
      </right>
      <top style="thin">
        <color rgb="FFD0D0D0"/>
      </top>
      <bottom style="thin">
        <color rgb="FF1F3864"/>
      </bottom>
      <diagonal/>
    </border>
    <border>
      <left style="thin">
        <color rgb="FFD0D0D0"/>
      </left>
      <right style="thin">
        <color rgb="FF1F3864"/>
      </right>
      <top style="thin">
        <color rgb="FF1F3864"/>
      </top>
      <bottom style="thin">
        <color rgb="FFD0D0D0"/>
      </bottom>
      <diagonal/>
    </border>
    <border>
      <left style="thin">
        <color rgb="FFD0D0D0"/>
      </left>
      <right style="thin">
        <color rgb="FF1F3864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1F3864"/>
      </right>
      <top style="thin">
        <color rgb="FFD0D0D0"/>
      </top>
      <bottom style="thin">
        <color rgb="FF1F3864"/>
      </bottom>
      <diagonal/>
    </border>
    <border>
      <left/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3864"/>
      </left>
      <right style="thin">
        <color rgb="FFD0D0D0"/>
      </right>
      <top/>
      <bottom/>
      <diagonal/>
    </border>
    <border>
      <left style="thin">
        <color rgb="FF1F3864"/>
      </left>
      <right style="thin">
        <color rgb="FFD0D0D0"/>
      </right>
      <top/>
      <bottom style="thin">
        <color rgb="FFD0D0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7" fillId="0" borderId="0"/>
  </cellStyleXfs>
  <cellXfs count="31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vertical="center"/>
    </xf>
    <xf numFmtId="0" fontId="0" fillId="0" borderId="1" xfId="0" applyBorder="1"/>
    <xf numFmtId="0" fontId="5" fillId="5" borderId="1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165" fontId="7" fillId="6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left"/>
    </xf>
    <xf numFmtId="165" fontId="4" fillId="6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166" fontId="4" fillId="3" borderId="0" xfId="0" applyNumberFormat="1" applyFont="1" applyFill="1" applyAlignment="1">
      <alignment vertical="center"/>
    </xf>
    <xf numFmtId="49" fontId="1" fillId="0" borderId="1" xfId="0" applyNumberFormat="1" applyFont="1" applyBorder="1" applyAlignment="1">
      <alignment horizontal="left"/>
    </xf>
    <xf numFmtId="0" fontId="4" fillId="6" borderId="1" xfId="0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/>
    </xf>
    <xf numFmtId="165" fontId="4" fillId="6" borderId="0" xfId="0" applyNumberFormat="1" applyFont="1" applyFill="1" applyAlignment="1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/>
    </xf>
    <xf numFmtId="165" fontId="9" fillId="0" borderId="1" xfId="0" applyNumberFormat="1" applyFont="1" applyBorder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5" fontId="9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8" borderId="0" xfId="0" applyFont="1" applyFill="1"/>
    <xf numFmtId="49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6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/>
    </xf>
    <xf numFmtId="166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17" fontId="5" fillId="0" borderId="1" xfId="0" applyNumberFormat="1" applyFont="1" applyBorder="1" applyAlignment="1">
      <alignment horizontal="center"/>
    </xf>
    <xf numFmtId="164" fontId="4" fillId="6" borderId="1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67" fontId="12" fillId="10" borderId="2" xfId="0" applyNumberFormat="1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167" fontId="12" fillId="12" borderId="2" xfId="0" applyNumberFormat="1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/>
    </xf>
    <xf numFmtId="0" fontId="11" fillId="13" borderId="0" xfId="0" applyFont="1" applyFill="1"/>
    <xf numFmtId="0" fontId="14" fillId="0" borderId="0" xfId="0" applyFont="1"/>
    <xf numFmtId="0" fontId="16" fillId="15" borderId="0" xfId="0" applyFont="1" applyFill="1" applyAlignment="1">
      <alignment horizontal="left" vertical="center"/>
    </xf>
    <xf numFmtId="0" fontId="17" fillId="16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17" borderId="0" xfId="0" applyFont="1" applyFill="1" applyAlignment="1">
      <alignment vertical="center"/>
    </xf>
    <xf numFmtId="0" fontId="20" fillId="17" borderId="0" xfId="0" applyFont="1" applyFill="1" applyAlignment="1">
      <alignment horizontal="center" vertical="center"/>
    </xf>
    <xf numFmtId="0" fontId="21" fillId="18" borderId="0" xfId="0" applyFont="1" applyFill="1" applyAlignment="1">
      <alignment vertical="center"/>
    </xf>
    <xf numFmtId="0" fontId="22" fillId="18" borderId="0" xfId="0" applyFont="1" applyFill="1" applyAlignment="1">
      <alignment horizontal="center" vertical="center"/>
    </xf>
    <xf numFmtId="0" fontId="23" fillId="19" borderId="0" xfId="0" applyFont="1" applyFill="1" applyAlignment="1">
      <alignment vertical="center"/>
    </xf>
    <xf numFmtId="0" fontId="24" fillId="19" borderId="0" xfId="0" applyFont="1" applyFill="1" applyAlignment="1">
      <alignment horizontal="center" vertical="center"/>
    </xf>
    <xf numFmtId="0" fontId="25" fillId="20" borderId="0" xfId="0" applyFont="1" applyFill="1" applyAlignment="1">
      <alignment vertical="center"/>
    </xf>
    <xf numFmtId="0" fontId="26" fillId="20" borderId="0" xfId="0" applyFont="1" applyFill="1" applyAlignment="1">
      <alignment horizontal="center" vertical="center"/>
    </xf>
    <xf numFmtId="0" fontId="27" fillId="21" borderId="0" xfId="0" applyFont="1" applyFill="1" applyAlignment="1">
      <alignment vertical="center"/>
    </xf>
    <xf numFmtId="0" fontId="28" fillId="21" borderId="0" xfId="0" applyFont="1" applyFill="1" applyAlignment="1">
      <alignment horizontal="center" vertical="center"/>
    </xf>
    <xf numFmtId="0" fontId="29" fillId="18" borderId="0" xfId="0" applyFont="1" applyFill="1" applyAlignment="1">
      <alignment vertical="center"/>
    </xf>
    <xf numFmtId="4" fontId="30" fillId="18" borderId="0" xfId="0" applyNumberFormat="1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9" fontId="3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2" fillId="15" borderId="0" xfId="0" applyFont="1" applyFill="1" applyAlignment="1">
      <alignment vertical="center"/>
    </xf>
    <xf numFmtId="164" fontId="14" fillId="22" borderId="0" xfId="0" applyNumberFormat="1" applyFont="1" applyFill="1" applyAlignment="1">
      <alignment vertical="center"/>
    </xf>
    <xf numFmtId="4" fontId="14" fillId="22" borderId="0" xfId="0" applyNumberFormat="1" applyFont="1" applyFill="1" applyAlignment="1">
      <alignment vertical="center"/>
    </xf>
    <xf numFmtId="0" fontId="14" fillId="22" borderId="0" xfId="0" applyFont="1" applyFill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3" fillId="16" borderId="0" xfId="0" applyFont="1" applyFill="1" applyAlignment="1">
      <alignment vertical="center"/>
    </xf>
    <xf numFmtId="4" fontId="33" fillId="16" borderId="0" xfId="0" applyNumberFormat="1" applyFont="1" applyFill="1" applyAlignment="1">
      <alignment vertical="center"/>
    </xf>
    <xf numFmtId="0" fontId="14" fillId="16" borderId="0" xfId="0" applyFont="1" applyFill="1" applyAlignment="1">
      <alignment vertical="center"/>
    </xf>
    <xf numFmtId="0" fontId="32" fillId="23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32" fillId="24" borderId="0" xfId="0" applyFont="1" applyFill="1" applyAlignment="1">
      <alignment vertical="center"/>
    </xf>
    <xf numFmtId="0" fontId="32" fillId="24" borderId="0" xfId="0" applyFont="1" applyFill="1" applyAlignment="1">
      <alignment horizontal="center" vertical="center"/>
    </xf>
    <xf numFmtId="0" fontId="14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 vertical="center"/>
    </xf>
    <xf numFmtId="4" fontId="14" fillId="18" borderId="0" xfId="0" applyNumberFormat="1" applyFont="1" applyFill="1" applyAlignment="1">
      <alignment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33" fillId="25" borderId="0" xfId="0" applyFont="1" applyFill="1" applyAlignment="1">
      <alignment vertical="center"/>
    </xf>
    <xf numFmtId="0" fontId="14" fillId="25" borderId="0" xfId="0" applyFont="1" applyFill="1" applyAlignment="1">
      <alignment vertical="center"/>
    </xf>
    <xf numFmtId="0" fontId="14" fillId="25" borderId="0" xfId="0" applyFont="1" applyFill="1" applyAlignment="1">
      <alignment horizontal="center" vertical="center"/>
    </xf>
    <xf numFmtId="4" fontId="33" fillId="25" borderId="0" xfId="0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0" fontId="32" fillId="23" borderId="0" xfId="0" applyFont="1" applyFill="1" applyAlignment="1">
      <alignment horizontal="center" vertical="center"/>
    </xf>
    <xf numFmtId="0" fontId="14" fillId="19" borderId="0" xfId="0" applyFont="1" applyFill="1" applyAlignment="1">
      <alignment vertical="center"/>
    </xf>
    <xf numFmtId="0" fontId="14" fillId="19" borderId="0" xfId="0" applyFont="1" applyFill="1" applyAlignment="1">
      <alignment horizontal="center" vertical="center"/>
    </xf>
    <xf numFmtId="0" fontId="33" fillId="26" borderId="0" xfId="0" applyFont="1" applyFill="1" applyAlignment="1">
      <alignment vertical="center"/>
    </xf>
    <xf numFmtId="0" fontId="14" fillId="26" borderId="0" xfId="0" applyFont="1" applyFill="1" applyAlignment="1">
      <alignment vertical="center"/>
    </xf>
    <xf numFmtId="0" fontId="14" fillId="26" borderId="0" xfId="0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2" fillId="27" borderId="0" xfId="0" applyFont="1" applyFill="1" applyAlignment="1">
      <alignment vertical="center"/>
    </xf>
    <xf numFmtId="0" fontId="32" fillId="2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20" borderId="0" xfId="0" applyFont="1" applyFill="1" applyAlignment="1">
      <alignment vertical="center"/>
    </xf>
    <xf numFmtId="0" fontId="23" fillId="2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0" fontId="37" fillId="0" borderId="0" xfId="0" applyFont="1" applyAlignment="1">
      <alignment vertical="center"/>
    </xf>
    <xf numFmtId="3" fontId="38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0" fontId="15" fillId="0" borderId="0" xfId="0" applyFont="1"/>
    <xf numFmtId="0" fontId="1" fillId="2" borderId="1" xfId="0" applyFont="1" applyFill="1" applyBorder="1" applyAlignment="1">
      <alignment horizontal="left"/>
    </xf>
    <xf numFmtId="0" fontId="39" fillId="0" borderId="1" xfId="0" applyFont="1" applyBorder="1" applyAlignment="1">
      <alignment horizontal="left"/>
    </xf>
    <xf numFmtId="49" fontId="39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165" fontId="7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horizontal="left"/>
    </xf>
    <xf numFmtId="49" fontId="5" fillId="28" borderId="1" xfId="0" applyNumberFormat="1" applyFont="1" applyFill="1" applyBorder="1" applyAlignment="1">
      <alignment horizontal="center"/>
    </xf>
    <xf numFmtId="49" fontId="5" fillId="28" borderId="1" xfId="0" applyNumberFormat="1" applyFont="1" applyFill="1" applyBorder="1" applyAlignment="1">
      <alignment horizontal="left"/>
    </xf>
    <xf numFmtId="49" fontId="39" fillId="28" borderId="1" xfId="0" applyNumberFormat="1" applyFont="1" applyFill="1" applyBorder="1" applyAlignment="1">
      <alignment horizontal="left"/>
    </xf>
    <xf numFmtId="0" fontId="4" fillId="28" borderId="1" xfId="0" applyFont="1" applyFill="1" applyBorder="1" applyAlignment="1">
      <alignment horizontal="left" vertical="center"/>
    </xf>
    <xf numFmtId="165" fontId="7" fillId="28" borderId="1" xfId="0" applyNumberFormat="1" applyFont="1" applyFill="1" applyBorder="1" applyAlignment="1">
      <alignment vertical="center"/>
    </xf>
    <xf numFmtId="0" fontId="4" fillId="28" borderId="1" xfId="0" applyFont="1" applyFill="1" applyBorder="1" applyAlignment="1">
      <alignment vertical="center"/>
    </xf>
    <xf numFmtId="0" fontId="5" fillId="28" borderId="1" xfId="0" applyFont="1" applyFill="1" applyBorder="1" applyAlignment="1">
      <alignment horizontal="center"/>
    </xf>
    <xf numFmtId="0" fontId="39" fillId="28" borderId="1" xfId="0" applyFont="1" applyFill="1" applyBorder="1" applyAlignment="1">
      <alignment horizontal="left"/>
    </xf>
    <xf numFmtId="165" fontId="4" fillId="28" borderId="1" xfId="0" applyNumberFormat="1" applyFont="1" applyFill="1" applyBorder="1" applyAlignment="1">
      <alignment vertical="center"/>
    </xf>
    <xf numFmtId="0" fontId="40" fillId="0" borderId="0" xfId="0" applyFont="1"/>
    <xf numFmtId="0" fontId="4" fillId="28" borderId="1" xfId="0" applyFont="1" applyFill="1" applyBorder="1"/>
    <xf numFmtId="165" fontId="14" fillId="0" borderId="0" xfId="0" applyNumberFormat="1" applyFont="1" applyAlignment="1">
      <alignment vertical="center"/>
    </xf>
    <xf numFmtId="168" fontId="1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8" fontId="37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6" fontId="41" fillId="0" borderId="0" xfId="0" applyNumberFormat="1" applyFont="1" applyAlignment="1">
      <alignment horizontal="right" vertical="center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70" fontId="12" fillId="12" borderId="2" xfId="0" applyNumberFormat="1" applyFont="1" applyFill="1" applyBorder="1" applyAlignment="1">
      <alignment horizontal="left" vertical="center"/>
    </xf>
    <xf numFmtId="170" fontId="12" fillId="10" borderId="2" xfId="0" applyNumberFormat="1" applyFont="1" applyFill="1" applyBorder="1" applyAlignment="1">
      <alignment horizontal="left" vertical="center"/>
    </xf>
    <xf numFmtId="0" fontId="42" fillId="14" borderId="1" xfId="0" applyFont="1" applyFill="1" applyBorder="1" applyAlignment="1">
      <alignment horizontal="center"/>
    </xf>
    <xf numFmtId="0" fontId="44" fillId="14" borderId="1" xfId="0" applyFont="1" applyFill="1" applyBorder="1" applyAlignment="1">
      <alignment horizontal="left"/>
    </xf>
    <xf numFmtId="0" fontId="44" fillId="0" borderId="1" xfId="0" applyFont="1" applyBorder="1"/>
    <xf numFmtId="0" fontId="45" fillId="0" borderId="1" xfId="0" applyFont="1" applyBorder="1"/>
    <xf numFmtId="49" fontId="44" fillId="0" borderId="1" xfId="0" applyNumberFormat="1" applyFont="1" applyBorder="1"/>
    <xf numFmtId="0" fontId="46" fillId="0" borderId="0" xfId="0" applyFont="1"/>
    <xf numFmtId="0" fontId="43" fillId="0" borderId="1" xfId="0" applyFont="1" applyBorder="1"/>
    <xf numFmtId="0" fontId="0" fillId="30" borderId="0" xfId="0" applyFill="1"/>
    <xf numFmtId="0" fontId="0" fillId="32" borderId="0" xfId="0" applyFill="1"/>
    <xf numFmtId="0" fontId="0" fillId="33" borderId="0" xfId="0" applyFill="1"/>
    <xf numFmtId="0" fontId="0" fillId="31" borderId="0" xfId="0" applyFill="1"/>
    <xf numFmtId="0" fontId="0" fillId="43" borderId="0" xfId="0" applyFill="1"/>
    <xf numFmtId="171" fontId="0" fillId="32" borderId="12" xfId="0" applyNumberFormat="1" applyFill="1" applyBorder="1"/>
    <xf numFmtId="0" fontId="0" fillId="32" borderId="12" xfId="0" applyFill="1" applyBorder="1" applyAlignment="1">
      <alignment horizontal="center"/>
    </xf>
    <xf numFmtId="171" fontId="0" fillId="33" borderId="12" xfId="0" applyNumberFormat="1" applyFill="1" applyBorder="1"/>
    <xf numFmtId="0" fontId="0" fillId="33" borderId="12" xfId="0" applyFill="1" applyBorder="1" applyAlignment="1">
      <alignment horizontal="center"/>
    </xf>
    <xf numFmtId="171" fontId="60" fillId="42" borderId="12" xfId="0" applyNumberFormat="1" applyFont="1" applyFill="1" applyBorder="1"/>
    <xf numFmtId="0" fontId="60" fillId="42" borderId="12" xfId="0" applyFont="1" applyFill="1" applyBorder="1" applyAlignment="1">
      <alignment horizontal="center"/>
    </xf>
    <xf numFmtId="0" fontId="51" fillId="31" borderId="14" xfId="0" applyFont="1" applyFill="1" applyBorder="1" applyAlignment="1">
      <alignment horizontal="center"/>
    </xf>
    <xf numFmtId="171" fontId="60" fillId="29" borderId="15" xfId="0" applyNumberFormat="1" applyFont="1" applyFill="1" applyBorder="1"/>
    <xf numFmtId="0" fontId="0" fillId="29" borderId="15" xfId="0" applyFill="1" applyBorder="1"/>
    <xf numFmtId="0" fontId="51" fillId="31" borderId="16" xfId="0" applyFont="1" applyFill="1" applyBorder="1" applyAlignment="1">
      <alignment horizontal="center"/>
    </xf>
    <xf numFmtId="16" fontId="0" fillId="32" borderId="17" xfId="0" applyNumberFormat="1" applyFill="1" applyBorder="1" applyAlignment="1">
      <alignment horizontal="center"/>
    </xf>
    <xf numFmtId="16" fontId="0" fillId="33" borderId="17" xfId="0" applyNumberFormat="1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60" fillId="42" borderId="17" xfId="0" applyFont="1" applyFill="1" applyBorder="1" applyAlignment="1">
      <alignment horizontal="center"/>
    </xf>
    <xf numFmtId="0" fontId="60" fillId="29" borderId="18" xfId="0" applyFont="1" applyFill="1" applyBorder="1" applyAlignment="1">
      <alignment horizontal="center"/>
    </xf>
    <xf numFmtId="0" fontId="51" fillId="31" borderId="19" xfId="0" applyFont="1" applyFill="1" applyBorder="1" applyAlignment="1">
      <alignment horizontal="center"/>
    </xf>
    <xf numFmtId="171" fontId="0" fillId="32" borderId="20" xfId="0" applyNumberFormat="1" applyFill="1" applyBorder="1"/>
    <xf numFmtId="171" fontId="0" fillId="33" borderId="20" xfId="0" applyNumberFormat="1" applyFill="1" applyBorder="1"/>
    <xf numFmtId="171" fontId="60" fillId="42" borderId="20" xfId="0" applyNumberFormat="1" applyFont="1" applyFill="1" applyBorder="1"/>
    <xf numFmtId="0" fontId="0" fillId="29" borderId="21" xfId="0" applyFill="1" applyBorder="1"/>
    <xf numFmtId="0" fontId="0" fillId="0" borderId="12" xfId="0" applyBorder="1"/>
    <xf numFmtId="172" fontId="60" fillId="32" borderId="12" xfId="0" applyNumberFormat="1" applyFont="1" applyFill="1" applyBorder="1" applyAlignment="1">
      <alignment horizontal="center"/>
    </xf>
    <xf numFmtId="0" fontId="0" fillId="31" borderId="14" xfId="0" applyFill="1" applyBorder="1"/>
    <xf numFmtId="0" fontId="0" fillId="0" borderId="15" xfId="0" applyBorder="1"/>
    <xf numFmtId="0" fontId="0" fillId="32" borderId="17" xfId="0" applyFill="1" applyBorder="1"/>
    <xf numFmtId="0" fontId="0" fillId="33" borderId="17" xfId="0" applyFill="1" applyBorder="1"/>
    <xf numFmtId="0" fontId="0" fillId="0" borderId="17" xfId="0" applyBorder="1"/>
    <xf numFmtId="0" fontId="0" fillId="0" borderId="18" xfId="0" applyBorder="1"/>
    <xf numFmtId="0" fontId="0" fillId="31" borderId="19" xfId="0" applyFill="1" applyBorder="1"/>
    <xf numFmtId="0" fontId="0" fillId="0" borderId="20" xfId="0" applyBorder="1"/>
    <xf numFmtId="0" fontId="0" fillId="0" borderId="21" xfId="0" applyBorder="1"/>
    <xf numFmtId="172" fontId="0" fillId="32" borderId="12" xfId="0" applyNumberFormat="1" applyFill="1" applyBorder="1" applyAlignment="1">
      <alignment horizontal="center"/>
    </xf>
    <xf numFmtId="172" fontId="0" fillId="33" borderId="12" xfId="0" applyNumberFormat="1" applyFill="1" applyBorder="1" applyAlignment="1">
      <alignment horizontal="center"/>
    </xf>
    <xf numFmtId="171" fontId="60" fillId="32" borderId="12" xfId="0" applyNumberFormat="1" applyFont="1" applyFill="1" applyBorder="1"/>
    <xf numFmtId="0" fontId="50" fillId="31" borderId="14" xfId="0" applyFont="1" applyFill="1" applyBorder="1" applyAlignment="1">
      <alignment horizontal="center"/>
    </xf>
    <xf numFmtId="10" fontId="60" fillId="29" borderId="15" xfId="0" applyNumberFormat="1" applyFont="1" applyFill="1" applyBorder="1" applyAlignment="1">
      <alignment horizontal="center"/>
    </xf>
    <xf numFmtId="0" fontId="50" fillId="31" borderId="16" xfId="0" applyFont="1" applyFill="1" applyBorder="1"/>
    <xf numFmtId="0" fontId="60" fillId="32" borderId="17" xfId="0" applyFont="1" applyFill="1" applyBorder="1"/>
    <xf numFmtId="0" fontId="60" fillId="29" borderId="18" xfId="0" applyFont="1" applyFill="1" applyBorder="1"/>
    <xf numFmtId="0" fontId="50" fillId="31" borderId="19" xfId="0" applyFont="1" applyFill="1" applyBorder="1"/>
    <xf numFmtId="0" fontId="0" fillId="32" borderId="20" xfId="0" applyFill="1" applyBorder="1"/>
    <xf numFmtId="0" fontId="0" fillId="33" borderId="20" xfId="0" applyFill="1" applyBorder="1"/>
    <xf numFmtId="0" fontId="64" fillId="32" borderId="12" xfId="0" applyFont="1" applyFill="1" applyBorder="1"/>
    <xf numFmtId="0" fontId="0" fillId="33" borderId="12" xfId="0" applyFill="1" applyBorder="1"/>
    <xf numFmtId="0" fontId="0" fillId="32" borderId="12" xfId="0" applyFill="1" applyBorder="1"/>
    <xf numFmtId="0" fontId="64" fillId="33" borderId="12" xfId="0" applyFont="1" applyFill="1" applyBorder="1"/>
    <xf numFmtId="0" fontId="50" fillId="31" borderId="14" xfId="0" applyFont="1" applyFill="1" applyBorder="1"/>
    <xf numFmtId="0" fontId="64" fillId="33" borderId="15" xfId="0" applyFont="1" applyFill="1" applyBorder="1"/>
    <xf numFmtId="0" fontId="0" fillId="33" borderId="15" xfId="0" applyFill="1" applyBorder="1" applyAlignment="1">
      <alignment horizontal="center"/>
    </xf>
    <xf numFmtId="0" fontId="0" fillId="33" borderId="18" xfId="0" applyFill="1" applyBorder="1"/>
    <xf numFmtId="0" fontId="50" fillId="31" borderId="19" xfId="0" applyFont="1" applyFill="1" applyBorder="1" applyAlignment="1">
      <alignment horizontal="center"/>
    </xf>
    <xf numFmtId="9" fontId="0" fillId="32" borderId="20" xfId="0" applyNumberFormat="1" applyFill="1" applyBorder="1" applyAlignment="1">
      <alignment horizontal="center"/>
    </xf>
    <xf numFmtId="9" fontId="0" fillId="33" borderId="20" xfId="0" applyNumberFormat="1" applyFill="1" applyBorder="1" applyAlignment="1">
      <alignment horizontal="center"/>
    </xf>
    <xf numFmtId="9" fontId="0" fillId="33" borderId="21" xfId="0" applyNumberFormat="1" applyFill="1" applyBorder="1" applyAlignment="1">
      <alignment horizontal="center"/>
    </xf>
    <xf numFmtId="0" fontId="51" fillId="31" borderId="16" xfId="0" applyFont="1" applyFill="1" applyBorder="1"/>
    <xf numFmtId="0" fontId="47" fillId="32" borderId="17" xfId="1" applyFill="1" applyBorder="1"/>
    <xf numFmtId="0" fontId="47" fillId="33" borderId="17" xfId="1" applyFill="1" applyBorder="1"/>
    <xf numFmtId="0" fontId="47" fillId="33" borderId="18" xfId="1" applyFill="1" applyBorder="1"/>
    <xf numFmtId="0" fontId="51" fillId="31" borderId="19" xfId="0" applyFont="1" applyFill="1" applyBorder="1"/>
    <xf numFmtId="0" fontId="52" fillId="32" borderId="20" xfId="0" applyFont="1" applyFill="1" applyBorder="1" applyAlignment="1">
      <alignment wrapText="1"/>
    </xf>
    <xf numFmtId="0" fontId="52" fillId="33" borderId="20" xfId="0" applyFont="1" applyFill="1" applyBorder="1" applyAlignment="1">
      <alignment wrapText="1"/>
    </xf>
    <xf numFmtId="0" fontId="52" fillId="33" borderId="21" xfId="0" applyFont="1" applyFill="1" applyBorder="1" applyAlignment="1">
      <alignment wrapText="1"/>
    </xf>
    <xf numFmtId="0" fontId="60" fillId="32" borderId="13" xfId="0" applyFont="1" applyFill="1" applyBorder="1"/>
    <xf numFmtId="0" fontId="61" fillId="40" borderId="13" xfId="0" applyFont="1" applyFill="1" applyBorder="1"/>
    <xf numFmtId="0" fontId="62" fillId="39" borderId="13" xfId="0" applyFont="1" applyFill="1" applyBorder="1"/>
    <xf numFmtId="172" fontId="60" fillId="32" borderId="13" xfId="0" applyNumberFormat="1" applyFont="1" applyFill="1" applyBorder="1"/>
    <xf numFmtId="0" fontId="60" fillId="33" borderId="13" xfId="0" applyFont="1" applyFill="1" applyBorder="1"/>
    <xf numFmtId="171" fontId="63" fillId="42" borderId="13" xfId="0" applyNumberFormat="1" applyFont="1" applyFill="1" applyBorder="1"/>
    <xf numFmtId="0" fontId="66" fillId="0" borderId="0" xfId="0" applyFont="1"/>
    <xf numFmtId="0" fontId="68" fillId="44" borderId="28" xfId="0" applyFont="1" applyFill="1" applyBorder="1" applyAlignment="1">
      <alignment horizontal="center" vertical="center"/>
    </xf>
    <xf numFmtId="0" fontId="70" fillId="46" borderId="28" xfId="0" applyFont="1" applyFill="1" applyBorder="1" applyAlignment="1">
      <alignment vertical="center"/>
    </xf>
    <xf numFmtId="4" fontId="70" fillId="47" borderId="28" xfId="0" applyNumberFormat="1" applyFont="1" applyFill="1" applyBorder="1" applyAlignment="1">
      <alignment horizontal="right" vertical="center"/>
    </xf>
    <xf numFmtId="4" fontId="70" fillId="46" borderId="28" xfId="0" applyNumberFormat="1" applyFont="1" applyFill="1" applyBorder="1" applyAlignment="1">
      <alignment horizontal="right" vertical="center"/>
    </xf>
    <xf numFmtId="0" fontId="70" fillId="48" borderId="28" xfId="0" applyFont="1" applyFill="1" applyBorder="1" applyAlignment="1">
      <alignment vertical="center"/>
    </xf>
    <xf numFmtId="4" fontId="70" fillId="48" borderId="28" xfId="0" applyNumberFormat="1" applyFont="1" applyFill="1" applyBorder="1" applyAlignment="1">
      <alignment horizontal="right" vertical="center"/>
    </xf>
    <xf numFmtId="4" fontId="70" fillId="49" borderId="28" xfId="0" applyNumberFormat="1" applyFont="1" applyFill="1" applyBorder="1" applyAlignment="1">
      <alignment horizontal="right" vertical="center"/>
    </xf>
    <xf numFmtId="0" fontId="0" fillId="50" borderId="0" xfId="0" applyFill="1"/>
    <xf numFmtId="4" fontId="72" fillId="50" borderId="28" xfId="0" applyNumberFormat="1" applyFont="1" applyFill="1" applyBorder="1" applyAlignment="1">
      <alignment horizontal="right" vertical="center"/>
    </xf>
    <xf numFmtId="4" fontId="73" fillId="50" borderId="28" xfId="0" applyNumberFormat="1" applyFont="1" applyFill="1" applyBorder="1" applyAlignment="1">
      <alignment horizontal="right" vertical="center"/>
    </xf>
    <xf numFmtId="4" fontId="74" fillId="50" borderId="28" xfId="0" applyNumberFormat="1" applyFont="1" applyFill="1" applyBorder="1" applyAlignment="1">
      <alignment horizontal="right" vertical="center"/>
    </xf>
    <xf numFmtId="0" fontId="76" fillId="51" borderId="28" xfId="0" applyFont="1" applyFill="1" applyBorder="1" applyAlignment="1">
      <alignment horizontal="left" vertical="center" indent="1"/>
    </xf>
    <xf numFmtId="0" fontId="76" fillId="51" borderId="28" xfId="0" applyFont="1" applyFill="1" applyBorder="1" applyAlignment="1">
      <alignment horizontal="center" vertical="center"/>
    </xf>
    <xf numFmtId="0" fontId="70" fillId="46" borderId="28" xfId="0" applyFont="1" applyFill="1" applyBorder="1" applyAlignment="1">
      <alignment vertical="center" indent="2"/>
    </xf>
    <xf numFmtId="0" fontId="0" fillId="46" borderId="28" xfId="0" applyFill="1" applyBorder="1"/>
    <xf numFmtId="0" fontId="70" fillId="46" borderId="28" xfId="0" applyFont="1" applyFill="1" applyBorder="1" applyAlignment="1">
      <alignment horizontal="center" vertical="center"/>
    </xf>
    <xf numFmtId="173" fontId="70" fillId="46" borderId="28" xfId="0" applyNumberFormat="1" applyFont="1" applyFill="1" applyBorder="1" applyAlignment="1">
      <alignment horizontal="right" vertical="center"/>
    </xf>
    <xf numFmtId="0" fontId="77" fillId="52" borderId="28" xfId="0" applyFont="1" applyFill="1" applyBorder="1" applyAlignment="1">
      <alignment vertical="center" indent="2"/>
    </xf>
    <xf numFmtId="0" fontId="0" fillId="52" borderId="28" xfId="0" applyFill="1" applyBorder="1"/>
    <xf numFmtId="173" fontId="77" fillId="52" borderId="28" xfId="0" applyNumberFormat="1" applyFont="1" applyFill="1" applyBorder="1" applyAlignment="1">
      <alignment horizontal="right" vertical="center"/>
    </xf>
    <xf numFmtId="0" fontId="70" fillId="49" borderId="28" xfId="0" applyFont="1" applyFill="1" applyBorder="1" applyAlignment="1">
      <alignment vertical="center" indent="2"/>
    </xf>
    <xf numFmtId="173" fontId="73" fillId="49" borderId="28" xfId="0" applyNumberFormat="1" applyFont="1" applyFill="1" applyBorder="1" applyAlignment="1">
      <alignment horizontal="right" vertical="center"/>
    </xf>
    <xf numFmtId="0" fontId="72" fillId="47" borderId="28" xfId="0" applyFont="1" applyFill="1" applyBorder="1" applyAlignment="1">
      <alignment vertical="center" indent="2"/>
    </xf>
    <xf numFmtId="0" fontId="79" fillId="47" borderId="28" xfId="0" applyFont="1" applyFill="1" applyBorder="1" applyAlignment="1">
      <alignment horizontal="center" vertical="center"/>
    </xf>
    <xf numFmtId="0" fontId="71" fillId="50" borderId="0" xfId="0" applyFont="1" applyFill="1"/>
    <xf numFmtId="4" fontId="73" fillId="50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80" fillId="52" borderId="0" xfId="0" applyFont="1" applyFill="1"/>
    <xf numFmtId="4" fontId="81" fillId="52" borderId="0" xfId="0" applyNumberFormat="1" applyFont="1" applyFill="1" applyAlignment="1">
      <alignment horizontal="right"/>
    </xf>
    <xf numFmtId="0" fontId="69" fillId="45" borderId="0" xfId="0" applyFont="1" applyFill="1" applyAlignment="1">
      <alignment vertical="center"/>
    </xf>
    <xf numFmtId="0" fontId="82" fillId="0" borderId="0" xfId="0" applyFont="1"/>
    <xf numFmtId="0" fontId="83" fillId="0" borderId="0" xfId="0" applyFont="1"/>
    <xf numFmtId="174" fontId="0" fillId="0" borderId="0" xfId="0" applyNumberFormat="1"/>
    <xf numFmtId="0" fontId="59" fillId="39" borderId="7" xfId="0" applyFont="1" applyFill="1" applyBorder="1" applyAlignment="1">
      <alignment horizontal="center"/>
    </xf>
    <xf numFmtId="0" fontId="0" fillId="0" borderId="4" xfId="0" applyBorder="1"/>
    <xf numFmtId="0" fontId="59" fillId="41" borderId="7" xfId="0" applyFont="1" applyFill="1" applyBorder="1" applyAlignment="1">
      <alignment horizontal="center"/>
    </xf>
    <xf numFmtId="171" fontId="55" fillId="39" borderId="6" xfId="0" applyNumberFormat="1" applyFont="1" applyFill="1" applyBorder="1" applyAlignment="1">
      <alignment horizontal="center"/>
    </xf>
    <xf numFmtId="0" fontId="0" fillId="0" borderId="0" xfId="0"/>
    <xf numFmtId="0" fontId="0" fillId="32" borderId="26" xfId="0" applyFill="1" applyBorder="1" applyAlignment="1">
      <alignment horizontal="left"/>
    </xf>
    <xf numFmtId="0" fontId="0" fillId="0" borderId="22" xfId="0" applyBorder="1"/>
    <xf numFmtId="0" fontId="50" fillId="30" borderId="0" xfId="0" applyFont="1" applyFill="1"/>
    <xf numFmtId="171" fontId="56" fillId="40" borderId="6" xfId="0" applyNumberFormat="1" applyFont="1" applyFill="1" applyBorder="1" applyAlignment="1">
      <alignment horizontal="center"/>
    </xf>
    <xf numFmtId="0" fontId="59" fillId="42" borderId="25" xfId="0" applyFont="1" applyFill="1" applyBorder="1" applyAlignment="1">
      <alignment horizontal="center"/>
    </xf>
    <xf numFmtId="0" fontId="0" fillId="0" borderId="10" xfId="0" applyBorder="1"/>
    <xf numFmtId="0" fontId="53" fillId="31" borderId="5" xfId="0" applyFont="1" applyFill="1" applyBorder="1" applyAlignment="1">
      <alignment horizontal="center"/>
    </xf>
    <xf numFmtId="0" fontId="0" fillId="0" borderId="3" xfId="0" applyBorder="1"/>
    <xf numFmtId="0" fontId="49" fillId="29" borderId="0" xfId="0" applyFont="1" applyFill="1"/>
    <xf numFmtId="0" fontId="0" fillId="40" borderId="26" xfId="0" applyFill="1" applyBorder="1" applyAlignment="1">
      <alignment horizontal="left"/>
    </xf>
    <xf numFmtId="0" fontId="59" fillId="40" borderId="7" xfId="0" applyFont="1" applyFill="1" applyBorder="1" applyAlignment="1">
      <alignment horizontal="center"/>
    </xf>
    <xf numFmtId="0" fontId="53" fillId="35" borderId="5" xfId="0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0" fontId="53" fillId="37" borderId="23" xfId="0" applyFont="1" applyFill="1" applyBorder="1" applyAlignment="1">
      <alignment horizontal="center"/>
    </xf>
    <xf numFmtId="0" fontId="0" fillId="0" borderId="8" xfId="0" applyBorder="1"/>
    <xf numFmtId="171" fontId="54" fillId="38" borderId="6" xfId="0" applyNumberFormat="1" applyFont="1" applyFill="1" applyBorder="1" applyAlignment="1">
      <alignment horizontal="center"/>
    </xf>
    <xf numFmtId="171" fontId="57" fillId="41" borderId="6" xfId="0" applyNumberFormat="1" applyFont="1" applyFill="1" applyBorder="1" applyAlignment="1">
      <alignment horizontal="center"/>
    </xf>
    <xf numFmtId="0" fontId="53" fillId="34" borderId="5" xfId="0" applyFont="1" applyFill="1" applyBorder="1" applyAlignment="1">
      <alignment horizontal="center"/>
    </xf>
    <xf numFmtId="0" fontId="0" fillId="33" borderId="26" xfId="0" applyFill="1" applyBorder="1" applyAlignment="1">
      <alignment horizontal="left"/>
    </xf>
    <xf numFmtId="0" fontId="59" fillId="38" borderId="7" xfId="0" applyFont="1" applyFill="1" applyBorder="1" applyAlignment="1">
      <alignment horizontal="center"/>
    </xf>
    <xf numFmtId="0" fontId="48" fillId="29" borderId="0" xfId="0" applyFont="1" applyFill="1"/>
    <xf numFmtId="0" fontId="53" fillId="36" borderId="5" xfId="0" applyFont="1" applyFill="1" applyBorder="1" applyAlignment="1">
      <alignment horizontal="center"/>
    </xf>
    <xf numFmtId="171" fontId="58" fillId="42" borderId="24" xfId="0" applyNumberFormat="1" applyFont="1" applyFill="1" applyBorder="1" applyAlignment="1">
      <alignment horizontal="center"/>
    </xf>
    <xf numFmtId="0" fontId="0" fillId="0" borderId="9" xfId="0" applyBorder="1"/>
    <xf numFmtId="0" fontId="51" fillId="31" borderId="26" xfId="0" applyFont="1" applyFill="1" applyBorder="1" applyAlignment="1">
      <alignment horizontal="center"/>
    </xf>
    <xf numFmtId="0" fontId="0" fillId="42" borderId="27" xfId="0" applyFill="1" applyBorder="1" applyAlignment="1">
      <alignment horizontal="left"/>
    </xf>
    <xf numFmtId="0" fontId="0" fillId="0" borderId="11" xfId="0" applyBorder="1"/>
    <xf numFmtId="0" fontId="0" fillId="39" borderId="26" xfId="0" applyFill="1" applyBorder="1" applyAlignment="1">
      <alignment horizontal="left"/>
    </xf>
    <xf numFmtId="0" fontId="71" fillId="50" borderId="0" xfId="0" applyFont="1" applyFill="1" applyAlignment="1">
      <alignment vertical="center"/>
    </xf>
    <xf numFmtId="0" fontId="67" fillId="44" borderId="0" xfId="0" applyFont="1" applyFill="1" applyAlignment="1">
      <alignment horizontal="left" vertical="center"/>
    </xf>
    <xf numFmtId="0" fontId="69" fillId="45" borderId="0" xfId="0" applyFont="1" applyFill="1" applyAlignment="1">
      <alignment vertical="center"/>
    </xf>
    <xf numFmtId="0" fontId="75" fillId="45" borderId="0" xfId="0" applyFont="1" applyFill="1" applyAlignment="1">
      <alignment vertical="center"/>
    </xf>
    <xf numFmtId="0" fontId="71" fillId="50" borderId="0" xfId="0" applyFont="1" applyFill="1" applyAlignment="1">
      <alignment vertical="center" indent="1"/>
    </xf>
    <xf numFmtId="0" fontId="78" fillId="5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3">
    <dxf>
      <font>
        <color rgb="FF375623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EDF2F9"/>
      <rgbColor rgb="FF721C24"/>
      <rgbColor rgb="FF1F6B38"/>
      <rgbColor rgb="FF000080"/>
      <rgbColor rgb="FF856404"/>
      <rgbColor rgb="FF800080"/>
      <rgbColor rgb="FF375623"/>
      <rgbColor rgb="FFBFBFBF"/>
      <rgbColor rgb="FF957F70"/>
      <rgbColor rgb="FFD9D9D9"/>
      <rgbColor rgb="FF7030A0"/>
      <rgbColor rgb="FFFFF3CD"/>
      <rgbColor rgb="FFD1ECF1"/>
      <rgbColor rgb="FF660066"/>
      <rgbColor rgb="FFF8D7DA"/>
      <rgbColor rgb="FF0066CC"/>
      <rgbColor rgb="FFCCCCCC"/>
      <rgbColor rgb="FF000080"/>
      <rgbColor rgb="FFFF00FF"/>
      <rgbColor rgb="FFE2EFDA"/>
      <rgbColor rgb="FFF2F2F2"/>
      <rgbColor rgb="FF800080"/>
      <rgbColor rgb="FFC00000"/>
      <rgbColor rgb="FF008080"/>
      <rgbColor rgb="FF0000FF"/>
      <rgbColor rgb="FF00B0F0"/>
      <rgbColor rgb="FFD4EDDA"/>
      <rgbColor rgb="FFC6EFCE"/>
      <rgbColor rgb="FFFFF2CC"/>
      <rgbColor rgb="FFD6E4F0"/>
      <rgbColor rgb="FFFFCCCC"/>
      <rgbColor rgb="FFEAD1F5"/>
      <rgbColor rgb="FFFFD580"/>
      <rgbColor rgb="FFF7F9FC"/>
      <rgbColor rgb="FF2A99E3"/>
      <rgbColor rgb="FF92D050"/>
      <rgbColor rgb="FFFFD9D9"/>
      <rgbColor rgb="FFFFE9E9"/>
      <rgbColor rgb="FFBF6000"/>
      <rgbColor rgb="FF595959"/>
      <rgbColor rgb="FFE8D5F5"/>
      <rgbColor rgb="FF16213E"/>
      <rgbColor rgb="FFE8E8E8"/>
      <rgbColor rgb="FF155724"/>
      <rgbColor rgb="FF1A1A2E"/>
      <rgbColor rgb="FF993300"/>
      <rgbColor rgb="FF993366"/>
      <rgbColor rgb="FF1F4E79"/>
      <rgbColor rgb="FF2D35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63"/>
  <sheetViews>
    <sheetView zoomScale="75" zoomScaleNormal="75" workbookViewId="0">
      <pane ySplit="3" topLeftCell="A4" activePane="bottomLeft" state="frozen"/>
      <selection pane="bottomLeft" activeCell="B19" sqref="B19:C19"/>
    </sheetView>
  </sheetViews>
  <sheetFormatPr defaultRowHeight="14.4" x14ac:dyDescent="0.3"/>
  <cols>
    <col min="1" max="1" width="3.33203125" customWidth="1"/>
    <col min="2" max="2" width="24.109375" customWidth="1"/>
    <col min="3" max="3" width="55.109375" customWidth="1"/>
    <col min="4" max="12" width="18.5546875" customWidth="1"/>
  </cols>
  <sheetData>
    <row r="1" spans="1:12" ht="36" customHeight="1" x14ac:dyDescent="0.45">
      <c r="A1" s="303" t="s">
        <v>321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1:12" ht="22.05" customHeight="1" x14ac:dyDescent="0.3">
      <c r="A2" s="291" t="s">
        <v>322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2" ht="4.05" customHeight="1" x14ac:dyDescent="0.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5" spans="1:12" ht="24" customHeight="1" x14ac:dyDescent="0.3">
      <c r="A5" s="285" t="s">
        <v>323</v>
      </c>
      <c r="B5" s="230" t="s">
        <v>324</v>
      </c>
      <c r="C5" s="234" t="s">
        <v>325</v>
      </c>
    </row>
    <row r="6" spans="1:12" ht="30" customHeight="1" x14ac:dyDescent="0.3">
      <c r="A6" s="282"/>
      <c r="B6" s="231" t="s">
        <v>326</v>
      </c>
      <c r="C6" s="235" t="s">
        <v>327</v>
      </c>
      <c r="D6" s="172"/>
      <c r="E6" s="172"/>
      <c r="F6" s="172"/>
      <c r="G6" s="172"/>
      <c r="H6" s="172"/>
      <c r="I6" s="172"/>
      <c r="J6" s="172"/>
      <c r="K6" s="172"/>
      <c r="L6" s="172"/>
    </row>
    <row r="7" spans="1:12" ht="30" customHeight="1" x14ac:dyDescent="0.3">
      <c r="A7" s="282"/>
      <c r="B7" s="232" t="s">
        <v>328</v>
      </c>
      <c r="C7" s="236" t="s">
        <v>329</v>
      </c>
      <c r="D7" s="173"/>
      <c r="E7" s="173"/>
      <c r="F7" s="173"/>
      <c r="G7" s="173"/>
      <c r="H7" s="173"/>
      <c r="I7" s="173"/>
      <c r="J7" s="173"/>
      <c r="K7" s="173"/>
      <c r="L7" s="173"/>
    </row>
    <row r="8" spans="1:12" ht="30" customHeight="1" x14ac:dyDescent="0.3">
      <c r="A8" s="282"/>
      <c r="B8" s="231" t="s">
        <v>330</v>
      </c>
      <c r="C8" s="235" t="s">
        <v>331</v>
      </c>
      <c r="D8" s="172"/>
      <c r="E8" s="172"/>
      <c r="F8" s="172"/>
      <c r="G8" s="172"/>
      <c r="H8" s="172"/>
      <c r="I8" s="172"/>
      <c r="J8" s="172"/>
      <c r="K8" s="172"/>
      <c r="L8" s="172"/>
    </row>
    <row r="9" spans="1:12" ht="30" customHeight="1" x14ac:dyDescent="0.3">
      <c r="A9" s="282"/>
      <c r="B9" s="232" t="s">
        <v>332</v>
      </c>
      <c r="C9" s="236" t="s">
        <v>333</v>
      </c>
      <c r="D9" s="173"/>
      <c r="E9" s="173"/>
      <c r="F9" s="173"/>
      <c r="G9" s="173"/>
      <c r="H9" s="173"/>
      <c r="I9" s="173"/>
      <c r="J9" s="173"/>
      <c r="K9" s="173"/>
      <c r="L9" s="173"/>
    </row>
    <row r="10" spans="1:12" ht="30" customHeight="1" x14ac:dyDescent="0.3">
      <c r="A10" s="282"/>
      <c r="B10" s="231" t="s">
        <v>334</v>
      </c>
      <c r="C10" s="235" t="s">
        <v>335</v>
      </c>
      <c r="D10" s="172"/>
      <c r="E10" s="172"/>
      <c r="F10" s="172"/>
      <c r="G10" s="172"/>
      <c r="H10" s="172"/>
      <c r="I10" s="172"/>
      <c r="J10" s="172"/>
      <c r="K10" s="172"/>
      <c r="L10" s="172"/>
    </row>
    <row r="11" spans="1:12" ht="30" customHeight="1" x14ac:dyDescent="0.3">
      <c r="A11" s="282"/>
      <c r="B11" s="232" t="s">
        <v>336</v>
      </c>
      <c r="C11" s="236" t="s">
        <v>337</v>
      </c>
      <c r="D11" s="173"/>
      <c r="E11" s="173"/>
      <c r="F11" s="173"/>
      <c r="G11" s="173"/>
      <c r="H11" s="173"/>
      <c r="I11" s="173"/>
      <c r="J11" s="173"/>
      <c r="K11" s="173"/>
      <c r="L11" s="173"/>
    </row>
    <row r="12" spans="1:12" ht="30" customHeight="1" x14ac:dyDescent="0.3">
      <c r="A12" s="282"/>
      <c r="B12" s="231" t="s">
        <v>338</v>
      </c>
      <c r="C12" s="235" t="s">
        <v>339</v>
      </c>
      <c r="D12" s="172"/>
      <c r="E12" s="172"/>
      <c r="F12" s="172"/>
      <c r="G12" s="172"/>
      <c r="H12" s="172"/>
      <c r="I12" s="172"/>
      <c r="J12" s="172"/>
      <c r="K12" s="172"/>
      <c r="L12" s="172"/>
    </row>
    <row r="13" spans="1:12" ht="30" customHeight="1" x14ac:dyDescent="0.3">
      <c r="A13" s="282"/>
      <c r="B13" s="232" t="s">
        <v>340</v>
      </c>
      <c r="C13" s="236" t="s">
        <v>341</v>
      </c>
      <c r="D13" s="173"/>
      <c r="E13" s="173"/>
      <c r="F13" s="173"/>
      <c r="G13" s="173"/>
      <c r="H13" s="173"/>
      <c r="I13" s="173"/>
      <c r="J13" s="173"/>
      <c r="K13" s="173"/>
      <c r="L13" s="173"/>
    </row>
    <row r="14" spans="1:12" ht="30" customHeight="1" x14ac:dyDescent="0.3">
      <c r="A14" s="282"/>
      <c r="B14" s="231" t="s">
        <v>342</v>
      </c>
      <c r="C14" s="235" t="s">
        <v>343</v>
      </c>
      <c r="D14" s="172"/>
      <c r="E14" s="172"/>
      <c r="F14" s="172"/>
      <c r="G14" s="172"/>
      <c r="H14" s="172"/>
      <c r="I14" s="172"/>
      <c r="J14" s="172"/>
      <c r="K14" s="172"/>
      <c r="L14" s="172"/>
    </row>
    <row r="15" spans="1:12" ht="30" customHeight="1" x14ac:dyDescent="0.3">
      <c r="A15" s="282"/>
      <c r="B15" s="233" t="s">
        <v>10</v>
      </c>
      <c r="C15" s="237" t="s">
        <v>344</v>
      </c>
      <c r="D15" s="173"/>
      <c r="E15" s="173"/>
      <c r="F15" s="173"/>
      <c r="G15" s="173"/>
      <c r="H15" s="173"/>
      <c r="I15" s="173"/>
      <c r="J15" s="173"/>
      <c r="K15" s="173"/>
      <c r="L15" s="173"/>
    </row>
    <row r="16" spans="1:12" ht="10.050000000000001" customHeight="1" x14ac:dyDescent="0.3"/>
    <row r="17" spans="1:12" ht="24" customHeight="1" x14ac:dyDescent="0.3">
      <c r="A17" s="285" t="s">
        <v>345</v>
      </c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</row>
    <row r="18" spans="1:12" ht="19.95" customHeight="1" x14ac:dyDescent="0.3">
      <c r="B18" s="289" t="s">
        <v>346</v>
      </c>
      <c r="C18" s="290"/>
      <c r="D18" s="300" t="s">
        <v>347</v>
      </c>
      <c r="E18" s="290"/>
      <c r="F18" s="294" t="s">
        <v>348</v>
      </c>
      <c r="G18" s="290"/>
      <c r="H18" s="304" t="s">
        <v>349</v>
      </c>
      <c r="I18" s="290"/>
      <c r="J18" s="296" t="s">
        <v>350</v>
      </c>
      <c r="K18" s="290"/>
      <c r="L18" s="297"/>
    </row>
    <row r="19" spans="1:12" ht="52.05" customHeight="1" x14ac:dyDescent="0.5">
      <c r="B19" s="298">
        <f>'Bank Reconciliation'!D10</f>
        <v>60875</v>
      </c>
      <c r="C19" s="282"/>
      <c r="D19" s="281">
        <f>'Bank Reconciliation'!D20</f>
        <v>36792</v>
      </c>
      <c r="E19" s="282"/>
      <c r="F19" s="286">
        <f>'Bank Reconciliation'!D10-'Bank Reconciliation'!D20</f>
        <v>24083</v>
      </c>
      <c r="G19" s="282"/>
      <c r="H19" s="299">
        <f>'Bank Reconciliation'!D27</f>
        <v>42267.9</v>
      </c>
      <c r="I19" s="282"/>
      <c r="J19" s="305">
        <f>'Bank Reconciliation'!D28</f>
        <v>-26</v>
      </c>
      <c r="K19" s="282"/>
      <c r="L19" s="306"/>
    </row>
    <row r="20" spans="1:12" ht="18" customHeight="1" x14ac:dyDescent="0.3">
      <c r="B20" s="302" t="s">
        <v>351</v>
      </c>
      <c r="C20" s="279"/>
      <c r="D20" s="278" t="s">
        <v>352</v>
      </c>
      <c r="E20" s="279"/>
      <c r="F20" s="293" t="s">
        <v>353</v>
      </c>
      <c r="G20" s="279"/>
      <c r="H20" s="280" t="s">
        <v>354</v>
      </c>
      <c r="I20" s="279"/>
      <c r="J20" s="287" t="s">
        <v>355</v>
      </c>
      <c r="K20" s="279"/>
      <c r="L20" s="288"/>
    </row>
    <row r="21" spans="1:12" ht="10.050000000000001" customHeight="1" x14ac:dyDescent="0.3"/>
    <row r="22" spans="1:12" ht="24" customHeight="1" x14ac:dyDescent="0.3">
      <c r="A22" s="285" t="s">
        <v>356</v>
      </c>
      <c r="B22" s="282"/>
      <c r="C22" s="282"/>
      <c r="D22" s="282"/>
      <c r="E22" s="282"/>
      <c r="F22" s="282"/>
      <c r="G22" s="282"/>
      <c r="H22" s="285" t="s">
        <v>357</v>
      </c>
      <c r="I22" s="282"/>
      <c r="J22" s="282"/>
      <c r="K22" s="282"/>
      <c r="L22" s="282"/>
    </row>
    <row r="23" spans="1:12" ht="22.05" customHeight="1" x14ac:dyDescent="0.3">
      <c r="B23" s="185" t="s">
        <v>358</v>
      </c>
      <c r="C23" s="182" t="s">
        <v>359</v>
      </c>
      <c r="D23" s="182" t="s">
        <v>360</v>
      </c>
      <c r="E23" s="191" t="s">
        <v>361</v>
      </c>
      <c r="F23" s="174"/>
      <c r="G23" s="174"/>
      <c r="H23" s="307" t="s">
        <v>362</v>
      </c>
      <c r="I23" s="284"/>
      <c r="J23" s="182" t="s">
        <v>363</v>
      </c>
      <c r="K23" s="198"/>
      <c r="L23" s="204"/>
    </row>
    <row r="24" spans="1:12" ht="22.05" customHeight="1" x14ac:dyDescent="0.3">
      <c r="B24" s="186">
        <v>46137</v>
      </c>
      <c r="C24" s="176">
        <f>'Payment Summary'!C22</f>
        <v>26778</v>
      </c>
      <c r="D24" s="177">
        <f>'Payment Summary'!D22</f>
        <v>79</v>
      </c>
      <c r="E24" s="192">
        <f t="shared" ref="E24:E36" si="0">IF(D24&gt;0,C24/D24,0)</f>
        <v>338.96202531645571</v>
      </c>
      <c r="H24" s="283" t="s">
        <v>364</v>
      </c>
      <c r="I24" s="284"/>
      <c r="J24" s="238">
        <f>'Payment Summary'!D7</f>
        <v>533</v>
      </c>
      <c r="K24" s="196"/>
      <c r="L24" s="205"/>
    </row>
    <row r="25" spans="1:12" ht="22.05" customHeight="1" x14ac:dyDescent="0.3">
      <c r="B25" s="187">
        <v>46167</v>
      </c>
      <c r="C25" s="178">
        <f>'Payment Summary'!C23</f>
        <v>25841</v>
      </c>
      <c r="D25" s="179">
        <f>'Payment Summary'!D23</f>
        <v>78</v>
      </c>
      <c r="E25" s="193">
        <f t="shared" si="0"/>
        <v>331.29487179487177</v>
      </c>
      <c r="H25" s="292" t="s">
        <v>365</v>
      </c>
      <c r="I25" s="284"/>
      <c r="J25" s="239">
        <f>'Payment Summary'!D8</f>
        <v>132</v>
      </c>
      <c r="K25" s="196"/>
      <c r="L25" s="205"/>
    </row>
    <row r="26" spans="1:12" ht="22.05" customHeight="1" x14ac:dyDescent="0.3">
      <c r="B26" s="186">
        <v>46198</v>
      </c>
      <c r="C26" s="176">
        <f>'Payment Summary'!C24</f>
        <v>25108</v>
      </c>
      <c r="D26" s="177">
        <f>'Payment Summary'!D24</f>
        <v>74</v>
      </c>
      <c r="E26" s="192">
        <f t="shared" si="0"/>
        <v>339.29729729729729</v>
      </c>
      <c r="H26" s="310" t="s">
        <v>366</v>
      </c>
      <c r="I26" s="284"/>
      <c r="J26" s="240">
        <f>'Payment Summary'!D9</f>
        <v>401</v>
      </c>
      <c r="K26" s="196"/>
      <c r="L26" s="205"/>
    </row>
    <row r="27" spans="1:12" ht="22.05" customHeight="1" x14ac:dyDescent="0.3">
      <c r="B27" s="187">
        <v>46228</v>
      </c>
      <c r="C27" s="178">
        <f>'Payment Summary'!C25</f>
        <v>24028</v>
      </c>
      <c r="D27" s="179">
        <f>'Payment Summary'!D25</f>
        <v>70</v>
      </c>
      <c r="E27" s="193">
        <f t="shared" si="0"/>
        <v>343.25714285714287</v>
      </c>
      <c r="H27" s="283" t="s">
        <v>367</v>
      </c>
      <c r="I27" s="284"/>
      <c r="J27" s="241">
        <f>'Payment Summary'!D16</f>
        <v>0.25</v>
      </c>
      <c r="K27" s="196"/>
      <c r="L27" s="205"/>
    </row>
    <row r="28" spans="1:12" ht="22.05" customHeight="1" x14ac:dyDescent="0.3">
      <c r="B28" s="186">
        <v>46259</v>
      </c>
      <c r="C28" s="176">
        <f>'Payment Summary'!C26</f>
        <v>30233</v>
      </c>
      <c r="D28" s="177">
        <f>'Payment Summary'!D26</f>
        <v>71</v>
      </c>
      <c r="E28" s="192">
        <f t="shared" si="0"/>
        <v>425.81690140845069</v>
      </c>
      <c r="H28" s="301" t="s">
        <v>368</v>
      </c>
      <c r="I28" s="284"/>
      <c r="J28" s="242">
        <f>'Payment Summary'!D11</f>
        <v>184</v>
      </c>
      <c r="K28" s="196"/>
      <c r="L28" s="205"/>
    </row>
    <row r="29" spans="1:12" ht="22.05" customHeight="1" x14ac:dyDescent="0.3">
      <c r="B29" s="187">
        <v>46290</v>
      </c>
      <c r="C29" s="178">
        <f>'Payment Summary'!C27</f>
        <v>26733</v>
      </c>
      <c r="D29" s="179">
        <f>'Payment Summary'!D27</f>
        <v>68</v>
      </c>
      <c r="E29" s="193">
        <f t="shared" si="0"/>
        <v>393.13235294117646</v>
      </c>
      <c r="H29" s="283" t="s">
        <v>369</v>
      </c>
      <c r="I29" s="284"/>
      <c r="J29" s="238">
        <f>'Payment Summary'!D12</f>
        <v>118</v>
      </c>
      <c r="K29" s="196"/>
      <c r="L29" s="205"/>
    </row>
    <row r="30" spans="1:12" ht="22.05" customHeight="1" x14ac:dyDescent="0.3">
      <c r="B30" s="186">
        <v>46320</v>
      </c>
      <c r="C30" s="176">
        <f>'Payment Summary'!C28</f>
        <v>24183</v>
      </c>
      <c r="D30" s="177">
        <f>'Payment Summary'!D28</f>
        <v>70</v>
      </c>
      <c r="E30" s="192">
        <f t="shared" si="0"/>
        <v>345.47142857142859</v>
      </c>
      <c r="H30" s="308" t="s">
        <v>370</v>
      </c>
      <c r="I30" s="309"/>
      <c r="J30" s="243">
        <f>'Payment Summary'!D14</f>
        <v>372684</v>
      </c>
      <c r="K30" s="196"/>
      <c r="L30" s="205"/>
    </row>
    <row r="31" spans="1:12" ht="22.05" customHeight="1" x14ac:dyDescent="0.3">
      <c r="B31" s="187">
        <v>46351</v>
      </c>
      <c r="C31" s="178">
        <f>'Payment Summary'!C29</f>
        <v>21583</v>
      </c>
      <c r="D31" s="179">
        <f>'Payment Summary'!D29</f>
        <v>64</v>
      </c>
      <c r="E31" s="193">
        <f t="shared" si="0"/>
        <v>337.234375</v>
      </c>
      <c r="H31" s="202"/>
      <c r="I31" s="196"/>
      <c r="J31" s="196"/>
      <c r="K31" s="196"/>
      <c r="L31" s="205"/>
    </row>
    <row r="32" spans="1:12" ht="22.05" customHeight="1" x14ac:dyDescent="0.3">
      <c r="B32" s="186">
        <v>46381</v>
      </c>
      <c r="C32" s="176">
        <f>'Payment Summary'!C30</f>
        <v>22883</v>
      </c>
      <c r="D32" s="177">
        <f>'Payment Summary'!D30</f>
        <v>66</v>
      </c>
      <c r="E32" s="192">
        <f t="shared" si="0"/>
        <v>346.71212121212119</v>
      </c>
      <c r="H32" s="202"/>
      <c r="I32" s="196"/>
      <c r="J32" s="196"/>
      <c r="K32" s="196"/>
      <c r="L32" s="205"/>
    </row>
    <row r="33" spans="1:12" ht="22.05" customHeight="1" x14ac:dyDescent="0.3">
      <c r="B33" s="187">
        <v>46048</v>
      </c>
      <c r="C33" s="178">
        <f>'Payment Summary'!C31</f>
        <v>24233</v>
      </c>
      <c r="D33" s="179">
        <f>'Payment Summary'!D31</f>
        <v>69</v>
      </c>
      <c r="E33" s="193">
        <f t="shared" si="0"/>
        <v>351.20289855072463</v>
      </c>
      <c r="H33" s="202"/>
      <c r="I33" s="196"/>
      <c r="J33" s="196"/>
      <c r="K33" s="196"/>
      <c r="L33" s="205"/>
    </row>
    <row r="34" spans="1:12" ht="22.05" customHeight="1" x14ac:dyDescent="0.3">
      <c r="B34" s="186">
        <v>46079</v>
      </c>
      <c r="C34" s="176">
        <f>'Payment Summary'!C32</f>
        <v>32833</v>
      </c>
      <c r="D34" s="177">
        <f>'Payment Summary'!D32</f>
        <v>66</v>
      </c>
      <c r="E34" s="192">
        <f t="shared" si="0"/>
        <v>497.469696969697</v>
      </c>
      <c r="H34" s="202"/>
      <c r="I34" s="196"/>
      <c r="J34" s="196"/>
      <c r="K34" s="196"/>
      <c r="L34" s="205"/>
    </row>
    <row r="35" spans="1:12" ht="22.05" customHeight="1" x14ac:dyDescent="0.3">
      <c r="B35" s="188" t="s">
        <v>371</v>
      </c>
      <c r="C35" s="178">
        <f>'Payment Summary'!C33</f>
        <v>27373</v>
      </c>
      <c r="D35" s="179">
        <f>'Payment Summary'!D33</f>
        <v>75</v>
      </c>
      <c r="E35" s="193">
        <f t="shared" si="0"/>
        <v>364.97333333333336</v>
      </c>
      <c r="H35" s="202"/>
      <c r="I35" s="196"/>
      <c r="J35" s="196"/>
      <c r="K35" s="196"/>
      <c r="L35" s="205"/>
    </row>
    <row r="36" spans="1:12" ht="22.05" customHeight="1" x14ac:dyDescent="0.3">
      <c r="B36" s="189" t="s">
        <v>372</v>
      </c>
      <c r="C36" s="180">
        <f>'Payment Summary'!C34</f>
        <v>60875</v>
      </c>
      <c r="D36" s="181">
        <f>'Payment Summary'!D34</f>
        <v>101</v>
      </c>
      <c r="E36" s="194">
        <f t="shared" si="0"/>
        <v>602.7227722772277</v>
      </c>
      <c r="H36" s="202"/>
      <c r="I36" s="196"/>
      <c r="J36" s="196"/>
      <c r="K36" s="196"/>
      <c r="L36" s="205"/>
    </row>
    <row r="37" spans="1:12" ht="22.05" customHeight="1" x14ac:dyDescent="0.3">
      <c r="B37" s="190" t="s">
        <v>373</v>
      </c>
      <c r="C37" s="183">
        <f>'Payment Summary'!D14</f>
        <v>372684</v>
      </c>
      <c r="D37" s="184"/>
      <c r="E37" s="195"/>
      <c r="H37" s="203"/>
      <c r="I37" s="199"/>
      <c r="J37" s="199"/>
      <c r="K37" s="199"/>
      <c r="L37" s="206"/>
    </row>
    <row r="38" spans="1:12" ht="22.05" customHeight="1" x14ac:dyDescent="0.3"/>
    <row r="39" spans="1:12" ht="22.05" customHeight="1" x14ac:dyDescent="0.3"/>
    <row r="40" spans="1:12" ht="22.05" customHeight="1" x14ac:dyDescent="0.3">
      <c r="A40" s="175"/>
    </row>
    <row r="41" spans="1:12" ht="22.05" customHeight="1" x14ac:dyDescent="0.3">
      <c r="A41" s="285" t="s">
        <v>374</v>
      </c>
      <c r="B41" s="282"/>
      <c r="C41" s="282"/>
      <c r="D41" s="282"/>
      <c r="E41" s="282"/>
      <c r="F41" s="282"/>
      <c r="G41" s="282"/>
      <c r="H41" s="285" t="s">
        <v>375</v>
      </c>
      <c r="I41" s="282"/>
      <c r="J41" s="282"/>
      <c r="K41" s="282"/>
      <c r="L41" s="282"/>
    </row>
    <row r="42" spans="1:12" ht="22.05" customHeight="1" x14ac:dyDescent="0.3">
      <c r="B42" s="212" t="s">
        <v>3</v>
      </c>
      <c r="C42" s="210" t="s">
        <v>376</v>
      </c>
      <c r="D42" s="210" t="s">
        <v>377</v>
      </c>
      <c r="E42" s="215" t="s">
        <v>10</v>
      </c>
      <c r="H42" s="212" t="s">
        <v>378</v>
      </c>
      <c r="I42" s="222" t="s">
        <v>379</v>
      </c>
      <c r="J42" s="210" t="s">
        <v>380</v>
      </c>
      <c r="K42" s="210" t="s">
        <v>381</v>
      </c>
      <c r="L42" s="226" t="s">
        <v>382</v>
      </c>
    </row>
    <row r="43" spans="1:12" ht="22.05" customHeight="1" x14ac:dyDescent="0.3">
      <c r="B43" s="200" t="str">
        <f>'Expense Register'!C2</f>
        <v>Bank fee</v>
      </c>
      <c r="C43" s="176">
        <f>'Expense Register'!D2</f>
        <v>414.98</v>
      </c>
      <c r="D43" s="207">
        <f>C43/'Expense Register'!D12</f>
        <v>1.1279082409219396E-2</v>
      </c>
      <c r="E43" s="216" t="str">
        <f>'Expense Register'!E2</f>
        <v>DO service charge</v>
      </c>
      <c r="H43" s="200" t="s">
        <v>34</v>
      </c>
      <c r="I43" s="218" t="s">
        <v>383</v>
      </c>
      <c r="J43" s="177">
        <v>4</v>
      </c>
      <c r="K43" s="177">
        <v>8</v>
      </c>
      <c r="L43" s="227">
        <f t="shared" ref="L43:L60" si="1">J43/K43</f>
        <v>0.5</v>
      </c>
    </row>
    <row r="44" spans="1:12" ht="22.05" customHeight="1" x14ac:dyDescent="0.3">
      <c r="B44" s="201" t="str">
        <f>'Expense Register'!C3</f>
        <v>Expense</v>
      </c>
      <c r="C44" s="178">
        <f>'Expense Register'!D3</f>
        <v>4000</v>
      </c>
      <c r="D44" s="208">
        <f>C44/'Expense Register'!D12</f>
        <v>0.10871928680147858</v>
      </c>
      <c r="E44" s="217" t="str">
        <f>'Expense Register'!E3</f>
        <v>JLK MCAA</v>
      </c>
      <c r="H44" s="201" t="s">
        <v>21</v>
      </c>
      <c r="I44" s="219" t="s">
        <v>384</v>
      </c>
      <c r="J44" s="179">
        <v>7</v>
      </c>
      <c r="K44" s="179">
        <v>17</v>
      </c>
      <c r="L44" s="228">
        <f t="shared" si="1"/>
        <v>0.41176470588235292</v>
      </c>
    </row>
    <row r="45" spans="1:12" ht="22.05" customHeight="1" x14ac:dyDescent="0.3">
      <c r="B45" s="200" t="str">
        <f>'Expense Register'!C4</f>
        <v>Utilities</v>
      </c>
      <c r="C45" s="176">
        <f>'Expense Register'!D4</f>
        <v>471.51</v>
      </c>
      <c r="D45" s="207">
        <f>C45/'Expense Register'!D12</f>
        <v>1.2815557729941291E-2</v>
      </c>
      <c r="E45" s="216" t="str">
        <f>'Expense Register'!E4</f>
        <v>Water — MR SN LANGA</v>
      </c>
      <c r="H45" s="200" t="s">
        <v>94</v>
      </c>
      <c r="I45" s="218" t="s">
        <v>383</v>
      </c>
      <c r="J45" s="177">
        <v>7</v>
      </c>
      <c r="K45" s="177">
        <v>19</v>
      </c>
      <c r="L45" s="227">
        <f t="shared" si="1"/>
        <v>0.36842105263157893</v>
      </c>
    </row>
    <row r="46" spans="1:12" ht="22.05" customHeight="1" x14ac:dyDescent="0.3">
      <c r="B46" s="201" t="str">
        <f>'Expense Register'!C5</f>
        <v>Reversal</v>
      </c>
      <c r="C46" s="178">
        <f>'Expense Register'!D5</f>
        <v>200</v>
      </c>
      <c r="D46" s="208">
        <f>C46/'Expense Register'!D12</f>
        <v>5.4359643400739288E-3</v>
      </c>
      <c r="E46" s="217" t="str">
        <f>'Expense Register'!E5</f>
        <v>Unpaid DO reversal</v>
      </c>
      <c r="H46" s="201" t="s">
        <v>68</v>
      </c>
      <c r="I46" s="219" t="s">
        <v>385</v>
      </c>
      <c r="J46" s="179">
        <v>2</v>
      </c>
      <c r="K46" s="179">
        <v>11</v>
      </c>
      <c r="L46" s="228">
        <f t="shared" si="1"/>
        <v>0.18181818181818182</v>
      </c>
    </row>
    <row r="47" spans="1:12" ht="22.05" customHeight="1" x14ac:dyDescent="0.3">
      <c r="B47" s="200" t="str">
        <f>'Expense Register'!C6</f>
        <v>Salary</v>
      </c>
      <c r="C47" s="176">
        <f>'Expense Register'!D6</f>
        <v>12500</v>
      </c>
      <c r="D47" s="207">
        <f>C47/'Expense Register'!D12</f>
        <v>0.33974777125462058</v>
      </c>
      <c r="E47" s="216" t="str">
        <f>'Expense Register'!E6</f>
        <v>Monthly salary — Mengo Sibanda</v>
      </c>
      <c r="H47" s="200" t="s">
        <v>132</v>
      </c>
      <c r="I47" s="220" t="s">
        <v>386</v>
      </c>
      <c r="J47" s="177">
        <v>5</v>
      </c>
      <c r="K47" s="177">
        <v>21</v>
      </c>
      <c r="L47" s="227">
        <f t="shared" si="1"/>
        <v>0.23809523809523808</v>
      </c>
    </row>
    <row r="48" spans="1:12" ht="22.05" customHeight="1" x14ac:dyDescent="0.3">
      <c r="B48" s="201" t="str">
        <f>'Expense Register'!C7</f>
        <v>Maintenance</v>
      </c>
      <c r="C48" s="178">
        <f>'Expense Register'!D7</f>
        <v>3834</v>
      </c>
      <c r="D48" s="208">
        <f>C48/'Expense Register'!D12</f>
        <v>0.10420743639921722</v>
      </c>
      <c r="E48" s="217" t="str">
        <f>'Expense Register'!E7</f>
        <v>Fence repair — Luka</v>
      </c>
      <c r="H48" s="201" t="s">
        <v>39</v>
      </c>
      <c r="I48" s="221" t="s">
        <v>383</v>
      </c>
      <c r="J48" s="179">
        <v>9</v>
      </c>
      <c r="K48" s="179">
        <v>30</v>
      </c>
      <c r="L48" s="228">
        <f t="shared" si="1"/>
        <v>0.3</v>
      </c>
    </row>
    <row r="49" spans="1:12" ht="22.05" customHeight="1" x14ac:dyDescent="0.3">
      <c r="B49" s="200" t="str">
        <f>'Expense Register'!C8</f>
        <v>Reversal</v>
      </c>
      <c r="C49" s="176">
        <f>'Expense Register'!D8</f>
        <v>350</v>
      </c>
      <c r="D49" s="207">
        <f>C49/'Expense Register'!D12</f>
        <v>9.5129375951293754E-3</v>
      </c>
      <c r="E49" s="216" t="str">
        <f>'Expense Register'!E8</f>
        <v>Unpaid DO reversal</v>
      </c>
      <c r="H49" s="200" t="s">
        <v>25</v>
      </c>
      <c r="I49" s="220" t="s">
        <v>387</v>
      </c>
      <c r="J49" s="177">
        <v>9</v>
      </c>
      <c r="K49" s="177">
        <v>26</v>
      </c>
      <c r="L49" s="227">
        <f t="shared" si="1"/>
        <v>0.34615384615384615</v>
      </c>
    </row>
    <row r="50" spans="1:12" ht="22.05" customHeight="1" x14ac:dyDescent="0.3">
      <c r="B50" s="201" t="str">
        <f>'Expense Register'!C9</f>
        <v>Utilities</v>
      </c>
      <c r="C50" s="178">
        <f>'Expense Register'!D9</f>
        <v>471.51</v>
      </c>
      <c r="D50" s="208">
        <f>C50/'Expense Register'!D12</f>
        <v>1.2815557729941291E-2</v>
      </c>
      <c r="E50" s="217" t="str">
        <f>'Expense Register'!E9</f>
        <v>Water — MR SN LANGA</v>
      </c>
      <c r="H50" s="201" t="s">
        <v>388</v>
      </c>
      <c r="I50" s="219" t="s">
        <v>177</v>
      </c>
      <c r="J50" s="179">
        <v>4</v>
      </c>
      <c r="K50" s="179">
        <v>14</v>
      </c>
      <c r="L50" s="228">
        <f t="shared" si="1"/>
        <v>0.2857142857142857</v>
      </c>
    </row>
    <row r="51" spans="1:12" ht="22.05" customHeight="1" x14ac:dyDescent="0.3">
      <c r="B51" s="213" t="str">
        <f>'Expense Register'!C10</f>
        <v>Camera purchase</v>
      </c>
      <c r="C51" s="209">
        <f>'Expense Register'!D10</f>
        <v>14500</v>
      </c>
      <c r="D51" s="197">
        <f>C51/'Expense Register'!D12</f>
        <v>0.39410741465535987</v>
      </c>
      <c r="E51" s="216" t="str">
        <f>'Expense Register'!E10</f>
        <v>Camera equipment — Tary Design</v>
      </c>
      <c r="H51" s="200" t="s">
        <v>139</v>
      </c>
      <c r="I51" s="220" t="s">
        <v>253</v>
      </c>
      <c r="J51" s="177">
        <v>5</v>
      </c>
      <c r="K51" s="177">
        <v>27</v>
      </c>
      <c r="L51" s="227">
        <f t="shared" si="1"/>
        <v>0.18518518518518517</v>
      </c>
    </row>
    <row r="52" spans="1:12" ht="22.05" customHeight="1" x14ac:dyDescent="0.3">
      <c r="B52" s="201" t="str">
        <f>'Expense Register'!C11</f>
        <v>Bank fee</v>
      </c>
      <c r="C52" s="178">
        <f>'Expense Register'!D11</f>
        <v>50</v>
      </c>
      <c r="D52" s="208">
        <f>C52/'Expense Register'!D12</f>
        <v>1.3589910850184822E-3</v>
      </c>
      <c r="E52" s="217" t="str">
        <f>'Expense Register'!E11</f>
        <v>Monthly account fee</v>
      </c>
      <c r="H52" s="201" t="s">
        <v>389</v>
      </c>
      <c r="I52" s="221" t="s">
        <v>383</v>
      </c>
      <c r="J52" s="179">
        <v>0</v>
      </c>
      <c r="K52" s="179">
        <v>12</v>
      </c>
      <c r="L52" s="228">
        <f t="shared" si="1"/>
        <v>0</v>
      </c>
    </row>
    <row r="53" spans="1:12" ht="22.05" customHeight="1" x14ac:dyDescent="0.3">
      <c r="B53" s="214" t="s">
        <v>373</v>
      </c>
      <c r="C53" s="183">
        <f>'Expense Register'!D12</f>
        <v>36792</v>
      </c>
      <c r="D53" s="211">
        <v>1</v>
      </c>
      <c r="E53" s="195"/>
      <c r="H53" s="200" t="s">
        <v>105</v>
      </c>
      <c r="I53" s="220" t="s">
        <v>390</v>
      </c>
      <c r="J53" s="177">
        <v>4</v>
      </c>
      <c r="K53" s="177">
        <v>16</v>
      </c>
      <c r="L53" s="227">
        <f t="shared" si="1"/>
        <v>0.25</v>
      </c>
    </row>
    <row r="54" spans="1:12" ht="22.05" customHeight="1" x14ac:dyDescent="0.3">
      <c r="H54" s="201" t="s">
        <v>391</v>
      </c>
      <c r="I54" s="219" t="s">
        <v>392</v>
      </c>
      <c r="J54" s="179">
        <v>3</v>
      </c>
      <c r="K54" s="179">
        <v>26</v>
      </c>
      <c r="L54" s="228">
        <f t="shared" si="1"/>
        <v>0.11538461538461539</v>
      </c>
    </row>
    <row r="55" spans="1:12" ht="22.05" customHeight="1" x14ac:dyDescent="0.3">
      <c r="H55" s="200" t="s">
        <v>150</v>
      </c>
      <c r="I55" s="220" t="s">
        <v>393</v>
      </c>
      <c r="J55" s="177">
        <v>1</v>
      </c>
      <c r="K55" s="177">
        <v>19</v>
      </c>
      <c r="L55" s="227">
        <f t="shared" si="1"/>
        <v>5.2631578947368418E-2</v>
      </c>
    </row>
    <row r="56" spans="1:12" ht="22.05" customHeight="1" x14ac:dyDescent="0.3">
      <c r="H56" s="201" t="s">
        <v>394</v>
      </c>
      <c r="I56" s="219" t="s">
        <v>395</v>
      </c>
      <c r="J56" s="179">
        <v>1</v>
      </c>
      <c r="K56" s="179">
        <v>14</v>
      </c>
      <c r="L56" s="228">
        <f t="shared" si="1"/>
        <v>7.1428571428571425E-2</v>
      </c>
    </row>
    <row r="57" spans="1:12" ht="22.05" customHeight="1" x14ac:dyDescent="0.3">
      <c r="H57" s="200" t="s">
        <v>396</v>
      </c>
      <c r="I57" s="218" t="s">
        <v>383</v>
      </c>
      <c r="J57" s="177">
        <v>2</v>
      </c>
      <c r="K57" s="177">
        <v>18</v>
      </c>
      <c r="L57" s="227">
        <f t="shared" si="1"/>
        <v>0.1111111111111111</v>
      </c>
    </row>
    <row r="58" spans="1:12" ht="22.05" customHeight="1" x14ac:dyDescent="0.3">
      <c r="H58" s="201" t="s">
        <v>47</v>
      </c>
      <c r="I58" s="219" t="s">
        <v>397</v>
      </c>
      <c r="J58" s="179">
        <v>3</v>
      </c>
      <c r="K58" s="179">
        <v>17</v>
      </c>
      <c r="L58" s="228">
        <f t="shared" si="1"/>
        <v>0.17647058823529413</v>
      </c>
    </row>
    <row r="59" spans="1:12" ht="22.05" customHeight="1" x14ac:dyDescent="0.3">
      <c r="H59" s="200" t="s">
        <v>398</v>
      </c>
      <c r="I59" s="218" t="s">
        <v>383</v>
      </c>
      <c r="J59" s="177">
        <v>1</v>
      </c>
      <c r="K59" s="177">
        <v>13</v>
      </c>
      <c r="L59" s="227">
        <f t="shared" si="1"/>
        <v>7.6923076923076927E-2</v>
      </c>
    </row>
    <row r="60" spans="1:12" ht="22.05" customHeight="1" x14ac:dyDescent="0.3">
      <c r="H60" s="225" t="s">
        <v>399</v>
      </c>
      <c r="I60" s="223" t="s">
        <v>383</v>
      </c>
      <c r="J60" s="224">
        <v>1</v>
      </c>
      <c r="K60" s="224">
        <v>5</v>
      </c>
      <c r="L60" s="229">
        <f t="shared" si="1"/>
        <v>0.2</v>
      </c>
    </row>
    <row r="62" spans="1:12" ht="7.95" customHeight="1" x14ac:dyDescent="0.3"/>
    <row r="63" spans="1:12" ht="19.95" customHeight="1" x14ac:dyDescent="0.3">
      <c r="A63" s="295" t="s">
        <v>400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</row>
  </sheetData>
  <mergeCells count="32">
    <mergeCell ref="A1:L1"/>
    <mergeCell ref="H18:I18"/>
    <mergeCell ref="J19:L19"/>
    <mergeCell ref="H23:I23"/>
    <mergeCell ref="H30:I30"/>
    <mergeCell ref="H26:I26"/>
    <mergeCell ref="A63:L63"/>
    <mergeCell ref="J18:L18"/>
    <mergeCell ref="B19:C19"/>
    <mergeCell ref="H19:I19"/>
    <mergeCell ref="D18:E18"/>
    <mergeCell ref="H28:I28"/>
    <mergeCell ref="A41:G41"/>
    <mergeCell ref="H22:L22"/>
    <mergeCell ref="H27:I27"/>
    <mergeCell ref="H24:I24"/>
    <mergeCell ref="B20:C20"/>
    <mergeCell ref="H41:L41"/>
    <mergeCell ref="J20:L20"/>
    <mergeCell ref="B18:C18"/>
    <mergeCell ref="A2:L2"/>
    <mergeCell ref="H25:I25"/>
    <mergeCell ref="F20:G20"/>
    <mergeCell ref="F18:G18"/>
    <mergeCell ref="A17:L17"/>
    <mergeCell ref="A5:A15"/>
    <mergeCell ref="D20:E20"/>
    <mergeCell ref="H20:I20"/>
    <mergeCell ref="D19:E19"/>
    <mergeCell ref="H29:I29"/>
    <mergeCell ref="A22:G22"/>
    <mergeCell ref="F19:G19"/>
  </mergeCells>
  <conditionalFormatting sqref="C24:C36">
    <cfRule type="dataBar" priority="4">
      <dataBar>
        <cfvo type="min"/>
        <cfvo type="max"/>
        <color rgb="FF9DC3E6"/>
      </dataBar>
    </cfRule>
  </conditionalFormatting>
  <conditionalFormatting sqref="L43:L60">
    <cfRule type="cellIs" dxfId="2" priority="1" operator="lessThan">
      <formula>0.2</formula>
    </cfRule>
    <cfRule type="cellIs" dxfId="1" priority="2" operator="between">
      <formula>0.2</formula>
      <formula>0.4</formula>
    </cfRule>
    <cfRule type="cellIs" dxfId="0" priority="3" operator="greaterThanOrEqual">
      <formula>0.4</formula>
    </cfRule>
  </conditionalFormatting>
  <hyperlinks>
    <hyperlink ref="B6" location="Comprehensive list!A1" tooltip="Go to Comprehensive list" display="Comprehensive list" xr:uid="{00000000-0004-0000-0000-000000000000}"/>
    <hyperlink ref="B7" location="Bank Statement Mar-26!A1" tooltip="Go to Bank Statement Mar-26" display="Bank Statement Mar-26" xr:uid="{00000000-0004-0000-0000-000001000000}"/>
    <hyperlink ref="B8" location="Reconciliation Mar-26!A1" tooltip="Go to Reconciliation Mar-26" display="Reconciliation Mar-26" xr:uid="{00000000-0004-0000-0000-000002000000}"/>
    <hyperlink ref="B9" location="Expense Register!A1" tooltip="Go to Expense Register" display="Expense Register" xr:uid="{00000000-0004-0000-0000-000003000000}"/>
    <hyperlink ref="B10" location="Payment Summary!A1" tooltip="Go to Payment Summary" display="Payment Summary" xr:uid="{00000000-0004-0000-0000-000004000000}"/>
    <hyperlink ref="B11" location="Members Report!A1" tooltip="Go to Members Report" display="Members Report" xr:uid="{00000000-0004-0000-0000-000005000000}"/>
    <hyperlink ref="B12" location="Matching Audit Log!A1" tooltip="Go to Matching Audit Log" display="Matching Audit Log" xr:uid="{00000000-0004-0000-0000-000006000000}"/>
    <hyperlink ref="B13" location="Street Captains!A1" tooltip="Go to Street Captains" display="Street Captains" xr:uid="{00000000-0004-0000-0000-000007000000}"/>
    <hyperlink ref="B14" location="Blignautsrus North!A1" tooltip="Go to Blignautsrus North" display="Blignautsrus North" xr:uid="{00000000-0004-0000-0000-000008000000}"/>
    <hyperlink ref="B15" location="Notes!A1" tooltip="Go to Notes" display="Notes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U535"/>
  <sheetViews>
    <sheetView topLeftCell="A290" zoomScaleNormal="100" workbookViewId="0">
      <selection activeCell="A345" sqref="A345"/>
    </sheetView>
  </sheetViews>
  <sheetFormatPr defaultColWidth="8.6640625" defaultRowHeight="14.4" x14ac:dyDescent="0.3"/>
  <cols>
    <col min="1" max="1" width="28.77734375" customWidth="1"/>
    <col min="2" max="2" width="17" customWidth="1"/>
    <col min="3" max="3" width="11.77734375" customWidth="1"/>
    <col min="4" max="4" width="9.109375" customWidth="1"/>
    <col min="5" max="5" width="12.44140625" bestFit="1" customWidth="1"/>
    <col min="6" max="6" width="11.88671875" bestFit="1" customWidth="1"/>
    <col min="7" max="7" width="13" hidden="1" customWidth="1"/>
    <col min="8" max="8" width="25.109375" customWidth="1"/>
    <col min="9" max="33" width="8.77734375" customWidth="1"/>
    <col min="34" max="34" width="10.33203125" customWidth="1"/>
    <col min="35" max="35" width="32.6640625" customWidth="1"/>
    <col min="36" max="36" width="10.5546875" customWidth="1"/>
    <col min="37" max="37" width="2" customWidth="1"/>
    <col min="38" max="38" width="18.44140625" customWidth="1"/>
    <col min="39" max="39" width="11.44140625" customWidth="1"/>
    <col min="40" max="40" width="10" customWidth="1"/>
    <col min="278" max="278" width="9" customWidth="1"/>
  </cols>
  <sheetData>
    <row r="1" spans="1:41" s="161" customFormat="1" ht="28.8" customHeight="1" x14ac:dyDescent="0.3">
      <c r="A1" s="155" t="s">
        <v>401</v>
      </c>
      <c r="B1" s="155" t="s">
        <v>8</v>
      </c>
      <c r="C1" s="155" t="s">
        <v>402</v>
      </c>
      <c r="D1" s="156" t="s">
        <v>9</v>
      </c>
      <c r="E1" s="155" t="s">
        <v>403</v>
      </c>
      <c r="F1" s="155" t="s">
        <v>404</v>
      </c>
      <c r="G1" s="155" t="s">
        <v>405</v>
      </c>
      <c r="H1" s="157" t="s">
        <v>406</v>
      </c>
      <c r="I1" s="158" t="s">
        <v>407</v>
      </c>
      <c r="J1" s="159" t="s">
        <v>408</v>
      </c>
      <c r="K1" s="158" t="s">
        <v>409</v>
      </c>
      <c r="L1" s="159" t="s">
        <v>410</v>
      </c>
      <c r="M1" s="158" t="s">
        <v>411</v>
      </c>
      <c r="N1" s="159" t="s">
        <v>412</v>
      </c>
      <c r="O1" s="158" t="s">
        <v>413</v>
      </c>
      <c r="P1" s="159" t="s">
        <v>414</v>
      </c>
      <c r="Q1" s="158" t="s">
        <v>415</v>
      </c>
      <c r="R1" s="159" t="s">
        <v>416</v>
      </c>
      <c r="S1" s="158" t="s">
        <v>417</v>
      </c>
      <c r="T1" s="159" t="s">
        <v>418</v>
      </c>
      <c r="U1" s="158" t="s">
        <v>419</v>
      </c>
      <c r="V1" s="159" t="s">
        <v>420</v>
      </c>
      <c r="W1" s="158" t="s">
        <v>421</v>
      </c>
      <c r="X1" s="159" t="s">
        <v>422</v>
      </c>
      <c r="Y1" s="158" t="s">
        <v>423</v>
      </c>
      <c r="Z1" s="159" t="s">
        <v>424</v>
      </c>
      <c r="AA1" s="158" t="s">
        <v>425</v>
      </c>
      <c r="AB1" s="159" t="s">
        <v>426</v>
      </c>
      <c r="AC1" s="158" t="s">
        <v>427</v>
      </c>
      <c r="AD1" s="159" t="s">
        <v>428</v>
      </c>
      <c r="AE1" s="158" t="s">
        <v>429</v>
      </c>
      <c r="AF1" s="159" t="s">
        <v>430</v>
      </c>
      <c r="AG1" s="158" t="s">
        <v>431</v>
      </c>
      <c r="AH1" s="159" t="s">
        <v>432</v>
      </c>
      <c r="AI1" s="244" t="s">
        <v>433</v>
      </c>
      <c r="AJ1" s="244" t="s">
        <v>434</v>
      </c>
      <c r="AK1" s="275" t="s">
        <v>435</v>
      </c>
      <c r="AL1" s="275" t="s">
        <v>436</v>
      </c>
      <c r="AM1" s="160" t="s">
        <v>437</v>
      </c>
      <c r="AN1" s="44" t="s">
        <v>438</v>
      </c>
    </row>
    <row r="2" spans="1:41" x14ac:dyDescent="0.3">
      <c r="A2" s="8" t="s">
        <v>439</v>
      </c>
      <c r="B2" s="8" t="s">
        <v>34</v>
      </c>
      <c r="C2" s="9" t="s">
        <v>440</v>
      </c>
      <c r="D2" s="10">
        <v>1</v>
      </c>
      <c r="E2" s="11" t="s">
        <v>441</v>
      </c>
      <c r="F2" s="11" t="s">
        <v>442</v>
      </c>
      <c r="G2" s="11"/>
      <c r="H2" s="12"/>
      <c r="I2" s="13">
        <v>350</v>
      </c>
      <c r="J2" s="13"/>
      <c r="K2" s="13">
        <v>350</v>
      </c>
      <c r="L2" s="13"/>
      <c r="M2" s="13">
        <v>350</v>
      </c>
      <c r="N2" s="13"/>
      <c r="O2" s="13">
        <v>350</v>
      </c>
      <c r="P2" s="13"/>
      <c r="Q2" s="13">
        <v>350</v>
      </c>
      <c r="R2" s="13"/>
      <c r="S2" s="13">
        <v>350</v>
      </c>
      <c r="T2" s="13"/>
      <c r="U2" s="13">
        <v>350</v>
      </c>
      <c r="V2" s="13"/>
      <c r="W2" s="13">
        <v>350</v>
      </c>
      <c r="X2" s="13"/>
      <c r="Y2" s="13">
        <v>350</v>
      </c>
      <c r="Z2" s="13"/>
      <c r="AA2" s="13">
        <v>350</v>
      </c>
      <c r="AB2" s="13"/>
      <c r="AC2" s="13">
        <v>350</v>
      </c>
      <c r="AD2" s="13"/>
      <c r="AE2" s="13">
        <v>350</v>
      </c>
      <c r="AF2" s="13"/>
      <c r="AG2" s="13">
        <v>350</v>
      </c>
      <c r="AH2" s="13"/>
      <c r="AI2">
        <v>350</v>
      </c>
      <c r="AK2">
        <v>350</v>
      </c>
      <c r="AM2" s="14"/>
      <c r="AO2" s="7">
        <v>1</v>
      </c>
    </row>
    <row r="3" spans="1:41" x14ac:dyDescent="0.3">
      <c r="A3" s="15" t="s">
        <v>443</v>
      </c>
      <c r="B3" s="8" t="s">
        <v>139</v>
      </c>
      <c r="C3" s="8"/>
      <c r="D3" s="10">
        <v>1</v>
      </c>
      <c r="E3" s="11" t="s">
        <v>444</v>
      </c>
      <c r="F3" s="11"/>
      <c r="G3" s="11"/>
      <c r="H3" s="16" t="s">
        <v>445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M3" s="18"/>
    </row>
    <row r="4" spans="1:41" x14ac:dyDescent="0.3">
      <c r="A4" s="8" t="s">
        <v>446</v>
      </c>
      <c r="B4" s="8" t="s">
        <v>139</v>
      </c>
      <c r="C4" s="8"/>
      <c r="D4" s="10">
        <v>2</v>
      </c>
      <c r="E4" s="11" t="s">
        <v>447</v>
      </c>
      <c r="F4" s="11"/>
      <c r="G4" s="11"/>
      <c r="H4" s="16" t="s">
        <v>448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M4" s="18"/>
    </row>
    <row r="5" spans="1:41" x14ac:dyDescent="0.3">
      <c r="A5" s="8" t="s">
        <v>449</v>
      </c>
      <c r="B5" s="8" t="s">
        <v>139</v>
      </c>
      <c r="C5" s="8"/>
      <c r="D5" s="10">
        <v>2</v>
      </c>
      <c r="E5" s="11" t="s">
        <v>450</v>
      </c>
      <c r="F5" s="11"/>
      <c r="G5" s="11"/>
      <c r="H5" s="19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M5" s="18"/>
    </row>
    <row r="6" spans="1:41" x14ac:dyDescent="0.3">
      <c r="A6" s="8" t="s">
        <v>451</v>
      </c>
      <c r="B6" s="11" t="s">
        <v>452</v>
      </c>
      <c r="C6" s="8"/>
      <c r="D6" s="10">
        <v>3</v>
      </c>
      <c r="E6" s="11" t="s">
        <v>453</v>
      </c>
      <c r="F6" s="11"/>
      <c r="G6" s="11"/>
      <c r="H6" s="12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M6" s="18"/>
    </row>
    <row r="7" spans="1:41" x14ac:dyDescent="0.3">
      <c r="A7" s="21" t="s">
        <v>454</v>
      </c>
      <c r="B7" s="21" t="s">
        <v>139</v>
      </c>
      <c r="C7" s="22"/>
      <c r="D7" s="23">
        <v>3</v>
      </c>
      <c r="E7" s="24"/>
      <c r="F7" s="24"/>
      <c r="G7" s="24"/>
      <c r="H7" s="19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M7" s="18"/>
    </row>
    <row r="8" spans="1:41" x14ac:dyDescent="0.3">
      <c r="A8" s="8" t="s">
        <v>455</v>
      </c>
      <c r="B8" s="8" t="s">
        <v>139</v>
      </c>
      <c r="C8" s="9" t="s">
        <v>456</v>
      </c>
      <c r="D8" s="10">
        <v>4</v>
      </c>
      <c r="E8" s="11" t="s">
        <v>457</v>
      </c>
      <c r="F8" s="11" t="s">
        <v>458</v>
      </c>
      <c r="G8" s="11"/>
      <c r="H8" s="16" t="s">
        <v>459</v>
      </c>
      <c r="I8" s="13">
        <v>363</v>
      </c>
      <c r="J8" s="13"/>
      <c r="K8" s="13">
        <v>363</v>
      </c>
      <c r="L8" s="13"/>
      <c r="M8" s="13">
        <v>363</v>
      </c>
      <c r="N8" s="13"/>
      <c r="O8" s="13">
        <v>363</v>
      </c>
      <c r="P8" s="13"/>
      <c r="Q8" s="13">
        <v>363</v>
      </c>
      <c r="R8" s="13"/>
      <c r="S8" s="13">
        <v>363</v>
      </c>
      <c r="T8" s="13"/>
      <c r="U8" s="13">
        <v>363</v>
      </c>
      <c r="V8" s="13"/>
      <c r="W8" s="13">
        <v>363</v>
      </c>
      <c r="X8" s="13"/>
      <c r="Y8" s="13">
        <v>363</v>
      </c>
      <c r="Z8" s="13"/>
      <c r="AA8" s="13">
        <v>363</v>
      </c>
      <c r="AB8" s="13"/>
      <c r="AC8" s="13">
        <v>363</v>
      </c>
      <c r="AD8" s="13"/>
      <c r="AE8" s="13">
        <v>363</v>
      </c>
      <c r="AF8" s="13"/>
      <c r="AG8" s="13">
        <v>363</v>
      </c>
      <c r="AH8" s="13"/>
      <c r="AI8">
        <v>363</v>
      </c>
      <c r="AK8">
        <v>363</v>
      </c>
      <c r="AM8" s="18"/>
      <c r="AO8" s="7">
        <v>1</v>
      </c>
    </row>
    <row r="9" spans="1:41" x14ac:dyDescent="0.3">
      <c r="A9" s="8" t="s">
        <v>460</v>
      </c>
      <c r="B9" s="8" t="s">
        <v>139</v>
      </c>
      <c r="C9" s="9"/>
      <c r="D9" s="10">
        <v>4</v>
      </c>
      <c r="E9" s="11" t="s">
        <v>461</v>
      </c>
      <c r="F9" s="11"/>
      <c r="G9" s="11"/>
      <c r="H9" s="19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M9" s="18"/>
    </row>
    <row r="10" spans="1:41" x14ac:dyDescent="0.3">
      <c r="A10" s="8" t="s">
        <v>462</v>
      </c>
      <c r="B10" s="8" t="s">
        <v>139</v>
      </c>
      <c r="C10" s="9"/>
      <c r="D10" s="10">
        <v>4</v>
      </c>
      <c r="E10" s="11" t="s">
        <v>457</v>
      </c>
      <c r="F10" s="11"/>
      <c r="G10" s="11"/>
      <c r="H10" s="19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M10" s="18"/>
    </row>
    <row r="11" spans="1:41" x14ac:dyDescent="0.3">
      <c r="A11" s="8" t="s">
        <v>463</v>
      </c>
      <c r="B11" s="8" t="s">
        <v>139</v>
      </c>
      <c r="C11" s="8"/>
      <c r="D11" s="10">
        <v>5</v>
      </c>
      <c r="E11" s="11" t="s">
        <v>464</v>
      </c>
      <c r="F11" s="11"/>
      <c r="G11" s="11"/>
      <c r="H11" s="19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M11" s="18"/>
    </row>
    <row r="12" spans="1:41" x14ac:dyDescent="0.3">
      <c r="A12" s="8" t="s">
        <v>465</v>
      </c>
      <c r="B12" s="8" t="s">
        <v>139</v>
      </c>
      <c r="C12" s="8"/>
      <c r="D12" s="10">
        <v>5</v>
      </c>
      <c r="E12" s="11" t="s">
        <v>466</v>
      </c>
      <c r="F12" s="11"/>
      <c r="G12" s="11"/>
      <c r="H12" s="19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M12" s="18"/>
    </row>
    <row r="13" spans="1:41" x14ac:dyDescent="0.3">
      <c r="A13" s="8" t="s">
        <v>467</v>
      </c>
      <c r="B13" s="8" t="s">
        <v>139</v>
      </c>
      <c r="C13" s="8"/>
      <c r="D13" s="10">
        <v>5</v>
      </c>
      <c r="E13" s="11" t="s">
        <v>468</v>
      </c>
      <c r="F13" s="11" t="s">
        <v>469</v>
      </c>
      <c r="G13" s="11"/>
      <c r="H13" s="19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M13" s="18"/>
    </row>
    <row r="14" spans="1:41" x14ac:dyDescent="0.3">
      <c r="A14" s="8" t="s">
        <v>470</v>
      </c>
      <c r="B14" s="8" t="s">
        <v>139</v>
      </c>
      <c r="C14" s="8"/>
      <c r="D14" s="10">
        <v>5</v>
      </c>
      <c r="E14" s="11" t="s">
        <v>471</v>
      </c>
      <c r="F14" s="11"/>
      <c r="G14" s="11"/>
      <c r="H14" s="25" t="s">
        <v>472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M14" s="18"/>
    </row>
    <row r="15" spans="1:41" x14ac:dyDescent="0.3">
      <c r="A15" s="8" t="s">
        <v>473</v>
      </c>
      <c r="B15" s="8" t="s">
        <v>139</v>
      </c>
      <c r="C15" s="8"/>
      <c r="D15" s="10">
        <v>5</v>
      </c>
      <c r="E15" s="11" t="s">
        <v>474</v>
      </c>
      <c r="F15" s="11"/>
      <c r="G15" s="11"/>
      <c r="H15" s="25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M15" s="18"/>
    </row>
    <row r="16" spans="1:41" x14ac:dyDescent="0.3">
      <c r="A16" s="8" t="s">
        <v>475</v>
      </c>
      <c r="B16" s="8" t="s">
        <v>389</v>
      </c>
      <c r="C16" s="8"/>
      <c r="D16" s="10">
        <v>5</v>
      </c>
      <c r="E16" s="11" t="s">
        <v>476</v>
      </c>
      <c r="F16" s="11"/>
      <c r="G16" s="11"/>
      <c r="H16" s="25" t="s">
        <v>477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M16" s="18"/>
    </row>
    <row r="17" spans="1:42" x14ac:dyDescent="0.3">
      <c r="A17" s="8" t="s">
        <v>478</v>
      </c>
      <c r="B17" s="8" t="s">
        <v>479</v>
      </c>
      <c r="C17" s="8"/>
      <c r="D17" s="10">
        <v>5</v>
      </c>
      <c r="E17" s="11" t="s">
        <v>480</v>
      </c>
      <c r="F17" s="11"/>
      <c r="G17" s="11"/>
      <c r="H17" s="25" t="s">
        <v>481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M17" s="18"/>
    </row>
    <row r="18" spans="1:42" x14ac:dyDescent="0.3">
      <c r="A18" s="15" t="s">
        <v>482</v>
      </c>
      <c r="B18" s="8" t="s">
        <v>139</v>
      </c>
      <c r="C18" s="8"/>
      <c r="D18" s="10">
        <v>6</v>
      </c>
      <c r="E18" s="11"/>
      <c r="F18" s="11"/>
      <c r="G18" s="11"/>
      <c r="H18" s="19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M18" s="18"/>
    </row>
    <row r="19" spans="1:42" x14ac:dyDescent="0.3">
      <c r="A19" s="8" t="s">
        <v>483</v>
      </c>
      <c r="B19" s="8" t="s">
        <v>139</v>
      </c>
      <c r="C19" s="8"/>
      <c r="D19" s="10">
        <v>7</v>
      </c>
      <c r="E19" s="11" t="s">
        <v>484</v>
      </c>
      <c r="F19" s="11"/>
      <c r="G19" s="11"/>
      <c r="H19" s="12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M19" s="18"/>
    </row>
    <row r="20" spans="1:42" x14ac:dyDescent="0.3">
      <c r="A20" s="8" t="s">
        <v>485</v>
      </c>
      <c r="B20" s="8" t="s">
        <v>389</v>
      </c>
      <c r="C20" s="8"/>
      <c r="D20" s="10">
        <v>7</v>
      </c>
      <c r="E20" s="11" t="s">
        <v>486</v>
      </c>
      <c r="F20" s="11"/>
      <c r="G20" s="11"/>
      <c r="H20" s="1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M20" s="18"/>
    </row>
    <row r="21" spans="1:42" x14ac:dyDescent="0.3">
      <c r="A21" s="8" t="s">
        <v>487</v>
      </c>
      <c r="B21" s="8" t="s">
        <v>34</v>
      </c>
      <c r="C21" s="8"/>
      <c r="D21" s="10">
        <v>8</v>
      </c>
      <c r="E21" s="11" t="s">
        <v>488</v>
      </c>
      <c r="F21" s="11"/>
      <c r="G21" s="11"/>
      <c r="H21" s="25" t="s">
        <v>489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M21" s="18"/>
    </row>
    <row r="22" spans="1:42" x14ac:dyDescent="0.3">
      <c r="A22" s="8" t="s">
        <v>490</v>
      </c>
      <c r="B22" s="11" t="s">
        <v>25</v>
      </c>
      <c r="C22" s="9"/>
      <c r="D22" s="10">
        <v>8</v>
      </c>
      <c r="E22" s="11" t="s">
        <v>491</v>
      </c>
      <c r="F22" s="11"/>
      <c r="G22" s="11"/>
      <c r="H22" s="25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M22" s="18"/>
    </row>
    <row r="23" spans="1:42" x14ac:dyDescent="0.3">
      <c r="A23" s="8" t="s">
        <v>492</v>
      </c>
      <c r="B23" s="8" t="s">
        <v>139</v>
      </c>
      <c r="C23" s="11" t="s">
        <v>493</v>
      </c>
      <c r="D23" s="10">
        <v>8</v>
      </c>
      <c r="E23" s="11" t="s">
        <v>494</v>
      </c>
      <c r="F23" s="11" t="s">
        <v>495</v>
      </c>
      <c r="G23" s="11"/>
      <c r="H23" s="25" t="s">
        <v>496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>
        <v>4000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M23" s="18" t="s">
        <v>497</v>
      </c>
      <c r="AO23" s="7">
        <v>1</v>
      </c>
    </row>
    <row r="24" spans="1:42" x14ac:dyDescent="0.3">
      <c r="A24" s="8" t="s">
        <v>111</v>
      </c>
      <c r="B24" s="8" t="s">
        <v>86</v>
      </c>
      <c r="C24" s="11" t="s">
        <v>493</v>
      </c>
      <c r="D24" s="10">
        <v>9</v>
      </c>
      <c r="E24" s="11" t="s">
        <v>498</v>
      </c>
      <c r="F24" s="11"/>
      <c r="G24" s="11"/>
      <c r="H24" s="26" t="s">
        <v>499</v>
      </c>
      <c r="I24" s="13"/>
      <c r="J24" s="13"/>
      <c r="K24" s="13"/>
      <c r="L24" s="13"/>
      <c r="M24" s="13"/>
      <c r="N24" s="13"/>
      <c r="O24" s="13"/>
      <c r="P24" s="13"/>
      <c r="Q24" s="13"/>
      <c r="R24" s="13">
        <v>6000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>
        <f>6000+3500</f>
        <v>9500</v>
      </c>
      <c r="AM24" s="18" t="s">
        <v>500</v>
      </c>
      <c r="AN24" s="7">
        <v>3500</v>
      </c>
      <c r="AO24" s="7">
        <v>1</v>
      </c>
      <c r="AP24" s="27">
        <v>3500</v>
      </c>
    </row>
    <row r="25" spans="1:42" x14ac:dyDescent="0.3">
      <c r="A25" s="8" t="s">
        <v>272</v>
      </c>
      <c r="B25" s="8" t="s">
        <v>232</v>
      </c>
      <c r="C25" s="9" t="s">
        <v>501</v>
      </c>
      <c r="D25" s="10">
        <v>10</v>
      </c>
      <c r="E25" s="11" t="s">
        <v>502</v>
      </c>
      <c r="F25" s="11"/>
      <c r="G25" s="11"/>
      <c r="H25" s="19"/>
      <c r="I25" s="13">
        <v>350</v>
      </c>
      <c r="J25" s="13"/>
      <c r="K25" s="13">
        <v>350</v>
      </c>
      <c r="L25" s="13"/>
      <c r="M25" s="13">
        <v>350</v>
      </c>
      <c r="N25" s="13"/>
      <c r="O25" s="13">
        <v>350</v>
      </c>
      <c r="P25" s="13"/>
      <c r="Q25" s="13">
        <v>350</v>
      </c>
      <c r="R25" s="13"/>
      <c r="S25" s="13">
        <v>350</v>
      </c>
      <c r="T25" s="13"/>
      <c r="U25" s="13">
        <v>350</v>
      </c>
      <c r="V25" s="13"/>
      <c r="W25" s="13">
        <v>350</v>
      </c>
      <c r="X25" s="13"/>
      <c r="Y25" s="13">
        <v>350</v>
      </c>
      <c r="Z25" s="13"/>
      <c r="AA25" s="13">
        <v>350</v>
      </c>
      <c r="AB25" s="13"/>
      <c r="AC25" s="13">
        <v>350</v>
      </c>
      <c r="AD25" s="13"/>
      <c r="AE25" s="13">
        <v>350</v>
      </c>
      <c r="AF25" s="13"/>
      <c r="AG25" s="13">
        <v>350</v>
      </c>
      <c r="AH25" s="13"/>
      <c r="AI25">
        <v>350</v>
      </c>
      <c r="AK25">
        <v>350</v>
      </c>
      <c r="AM25" s="18"/>
      <c r="AN25">
        <v>2000</v>
      </c>
      <c r="AO25" s="7">
        <v>1</v>
      </c>
    </row>
    <row r="26" spans="1:42" x14ac:dyDescent="0.3">
      <c r="A26" s="8" t="s">
        <v>152</v>
      </c>
      <c r="B26" s="8" t="s">
        <v>86</v>
      </c>
      <c r="C26" s="8"/>
      <c r="D26" s="10">
        <v>10</v>
      </c>
      <c r="E26" s="11" t="s">
        <v>503</v>
      </c>
      <c r="F26" s="11"/>
      <c r="G26" s="11"/>
      <c r="H26" s="25" t="s">
        <v>504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>
        <v>500</v>
      </c>
      <c r="AM26" s="18" t="s">
        <v>500</v>
      </c>
      <c r="AP26" s="27">
        <v>500</v>
      </c>
    </row>
    <row r="27" spans="1:42" x14ac:dyDescent="0.3">
      <c r="A27" s="8" t="s">
        <v>505</v>
      </c>
      <c r="B27" s="11" t="s">
        <v>25</v>
      </c>
      <c r="C27" s="9" t="s">
        <v>506</v>
      </c>
      <c r="D27" s="10">
        <v>10</v>
      </c>
      <c r="E27" s="11" t="s">
        <v>507</v>
      </c>
      <c r="F27" s="11"/>
      <c r="G27" s="11"/>
      <c r="H27" s="25" t="s">
        <v>508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M27" s="18"/>
    </row>
    <row r="28" spans="1:42" x14ac:dyDescent="0.3">
      <c r="A28" s="8" t="s">
        <v>509</v>
      </c>
      <c r="B28" s="8" t="s">
        <v>139</v>
      </c>
      <c r="C28" s="8"/>
      <c r="D28" s="10">
        <v>10</v>
      </c>
      <c r="E28" s="11" t="s">
        <v>510</v>
      </c>
      <c r="F28" s="11"/>
      <c r="G28" s="11"/>
      <c r="H28" s="25" t="s">
        <v>511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M28" s="18"/>
    </row>
    <row r="29" spans="1:42" x14ac:dyDescent="0.3">
      <c r="A29" s="8" t="s">
        <v>33</v>
      </c>
      <c r="B29" s="8" t="s">
        <v>232</v>
      </c>
      <c r="C29" s="9" t="s">
        <v>506</v>
      </c>
      <c r="D29" s="10">
        <v>11</v>
      </c>
      <c r="E29" s="11"/>
      <c r="F29" s="11"/>
      <c r="G29" s="11"/>
      <c r="H29" s="19"/>
      <c r="I29" s="13"/>
      <c r="J29" s="13"/>
      <c r="K29" s="13"/>
      <c r="L29" s="13"/>
      <c r="M29" s="13"/>
      <c r="N29" s="13"/>
      <c r="O29" s="13"/>
      <c r="P29" s="13"/>
      <c r="Q29" s="13"/>
      <c r="R29" s="13">
        <v>700</v>
      </c>
      <c r="S29" s="13"/>
      <c r="T29" s="13">
        <v>350</v>
      </c>
      <c r="U29" s="13"/>
      <c r="V29" s="13">
        <v>350</v>
      </c>
      <c r="W29" s="13"/>
      <c r="X29" s="13">
        <v>350</v>
      </c>
      <c r="Y29" s="13"/>
      <c r="Z29" s="13">
        <v>350</v>
      </c>
      <c r="AA29" s="13"/>
      <c r="AB29" s="13">
        <v>350</v>
      </c>
      <c r="AC29" s="13"/>
      <c r="AD29" s="13">
        <v>350</v>
      </c>
      <c r="AE29" s="13"/>
      <c r="AF29" s="13">
        <v>350</v>
      </c>
      <c r="AG29" s="13"/>
      <c r="AH29" s="13">
        <v>350</v>
      </c>
      <c r="AJ29">
        <v>350</v>
      </c>
      <c r="AL29">
        <v>350</v>
      </c>
      <c r="AM29" s="18"/>
      <c r="AO29" s="7">
        <v>1</v>
      </c>
    </row>
    <row r="30" spans="1:42" x14ac:dyDescent="0.3">
      <c r="A30" s="15" t="s">
        <v>482</v>
      </c>
      <c r="B30" s="8" t="s">
        <v>139</v>
      </c>
      <c r="C30" s="8"/>
      <c r="D30" s="10">
        <v>11</v>
      </c>
      <c r="E30" s="11"/>
      <c r="F30" s="11"/>
      <c r="G30" s="11"/>
      <c r="H30" s="12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M30" s="18"/>
    </row>
    <row r="31" spans="1:42" x14ac:dyDescent="0.3">
      <c r="A31" s="8" t="s">
        <v>512</v>
      </c>
      <c r="B31" s="8" t="s">
        <v>389</v>
      </c>
      <c r="C31" s="8"/>
      <c r="D31" s="10">
        <v>11</v>
      </c>
      <c r="E31" s="11" t="s">
        <v>513</v>
      </c>
      <c r="F31" s="11"/>
      <c r="G31" s="11"/>
      <c r="H31" s="12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M31" s="18"/>
    </row>
    <row r="32" spans="1:42" x14ac:dyDescent="0.3">
      <c r="A32" s="8" t="s">
        <v>514</v>
      </c>
      <c r="B32" s="8" t="s">
        <v>232</v>
      </c>
      <c r="C32" s="8"/>
      <c r="D32" s="10">
        <v>12</v>
      </c>
      <c r="E32" s="11" t="s">
        <v>515</v>
      </c>
      <c r="F32" s="11"/>
      <c r="G32" s="11"/>
      <c r="H32" s="25" t="s">
        <v>516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M32" s="18"/>
    </row>
    <row r="33" spans="1:42" x14ac:dyDescent="0.3">
      <c r="A33" s="8" t="s">
        <v>517</v>
      </c>
      <c r="B33" s="8" t="s">
        <v>86</v>
      </c>
      <c r="C33" s="8"/>
      <c r="D33" s="10">
        <v>12</v>
      </c>
      <c r="E33" s="11" t="s">
        <v>518</v>
      </c>
      <c r="F33" s="11"/>
      <c r="G33" s="11"/>
      <c r="H33" s="26" t="s">
        <v>519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M33" s="18"/>
    </row>
    <row r="34" spans="1:42" x14ac:dyDescent="0.3">
      <c r="A34" s="8" t="s">
        <v>520</v>
      </c>
      <c r="B34" s="8" t="s">
        <v>139</v>
      </c>
      <c r="C34" s="8"/>
      <c r="D34" s="10">
        <v>12</v>
      </c>
      <c r="E34" s="11" t="s">
        <v>521</v>
      </c>
      <c r="F34" s="11"/>
      <c r="G34" s="11"/>
      <c r="H34" s="25" t="s">
        <v>522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M34" s="18"/>
    </row>
    <row r="35" spans="1:42" x14ac:dyDescent="0.3">
      <c r="A35" s="8" t="s">
        <v>523</v>
      </c>
      <c r="B35" s="8" t="s">
        <v>139</v>
      </c>
      <c r="C35" s="8"/>
      <c r="D35" s="10">
        <v>12</v>
      </c>
      <c r="E35" s="11" t="s">
        <v>524</v>
      </c>
      <c r="F35" s="11"/>
      <c r="G35" s="11"/>
      <c r="H35" s="25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M35" s="18"/>
    </row>
    <row r="36" spans="1:42" x14ac:dyDescent="0.3">
      <c r="A36" s="8" t="s">
        <v>525</v>
      </c>
      <c r="B36" s="8" t="s">
        <v>139</v>
      </c>
      <c r="C36" s="8"/>
      <c r="D36" s="10">
        <v>12</v>
      </c>
      <c r="E36" s="11" t="s">
        <v>526</v>
      </c>
      <c r="F36" s="11"/>
      <c r="G36" s="11"/>
      <c r="H36" s="25" t="s">
        <v>527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M36" s="18"/>
    </row>
    <row r="37" spans="1:42" x14ac:dyDescent="0.3">
      <c r="A37" s="8" t="s">
        <v>528</v>
      </c>
      <c r="B37" s="8" t="s">
        <v>86</v>
      </c>
      <c r="C37" s="8"/>
      <c r="D37" s="10">
        <v>13</v>
      </c>
      <c r="E37" s="11" t="s">
        <v>529</v>
      </c>
      <c r="F37" s="11"/>
      <c r="G37" s="11"/>
      <c r="H37" s="12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M37" s="18"/>
    </row>
    <row r="38" spans="1:42" x14ac:dyDescent="0.3">
      <c r="A38" s="8" t="s">
        <v>530</v>
      </c>
      <c r="B38" s="8" t="s">
        <v>389</v>
      </c>
      <c r="C38" s="8"/>
      <c r="D38" s="10">
        <v>13</v>
      </c>
      <c r="E38" s="11" t="s">
        <v>531</v>
      </c>
      <c r="F38" s="11"/>
      <c r="G38" s="11"/>
      <c r="H38" s="26" t="s">
        <v>532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M38" s="18"/>
    </row>
    <row r="39" spans="1:42" x14ac:dyDescent="0.3">
      <c r="A39" s="8" t="s">
        <v>533</v>
      </c>
      <c r="B39" s="8" t="s">
        <v>232</v>
      </c>
      <c r="C39" s="9" t="s">
        <v>534</v>
      </c>
      <c r="D39" s="10">
        <v>14</v>
      </c>
      <c r="E39" s="11"/>
      <c r="F39" s="11"/>
      <c r="G39" s="11"/>
      <c r="H39" s="12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M39" s="18"/>
    </row>
    <row r="40" spans="1:42" x14ac:dyDescent="0.3">
      <c r="A40" s="8" t="s">
        <v>535</v>
      </c>
      <c r="B40" s="8" t="s">
        <v>232</v>
      </c>
      <c r="C40" s="9"/>
      <c r="D40" s="10">
        <v>14</v>
      </c>
      <c r="E40" s="11" t="s">
        <v>536</v>
      </c>
      <c r="F40" s="11"/>
      <c r="G40" s="11"/>
      <c r="H40" s="25" t="s">
        <v>537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M40" s="18"/>
    </row>
    <row r="41" spans="1:42" x14ac:dyDescent="0.3">
      <c r="A41" s="8" t="s">
        <v>538</v>
      </c>
      <c r="B41" s="8" t="s">
        <v>86</v>
      </c>
      <c r="C41" s="8"/>
      <c r="D41" s="10">
        <v>14</v>
      </c>
      <c r="E41" s="11" t="s">
        <v>539</v>
      </c>
      <c r="F41" s="11"/>
      <c r="G41" s="11"/>
      <c r="H41" s="25" t="s">
        <v>540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M41" s="18"/>
    </row>
    <row r="42" spans="1:42" x14ac:dyDescent="0.3">
      <c r="A42" s="11" t="s">
        <v>541</v>
      </c>
      <c r="B42" s="11" t="s">
        <v>452</v>
      </c>
      <c r="C42" s="11"/>
      <c r="D42" s="10">
        <v>15</v>
      </c>
      <c r="E42" s="11" t="s">
        <v>542</v>
      </c>
      <c r="F42" s="11"/>
      <c r="G42" s="11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M42" s="18"/>
    </row>
    <row r="43" spans="1:42" x14ac:dyDescent="0.3">
      <c r="A43" s="8" t="s">
        <v>543</v>
      </c>
      <c r="B43" s="8" t="s">
        <v>389</v>
      </c>
      <c r="C43" s="8"/>
      <c r="D43" s="10">
        <v>15</v>
      </c>
      <c r="E43" s="11" t="s">
        <v>544</v>
      </c>
      <c r="F43" s="11"/>
      <c r="G43" s="11"/>
      <c r="H43" s="25" t="s">
        <v>545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M43" s="18"/>
    </row>
    <row r="44" spans="1:42" x14ac:dyDescent="0.3">
      <c r="A44" s="11" t="s">
        <v>546</v>
      </c>
      <c r="B44" s="11" t="s">
        <v>452</v>
      </c>
      <c r="C44" s="9" t="s">
        <v>547</v>
      </c>
      <c r="D44" s="10">
        <v>16</v>
      </c>
      <c r="E44" s="11" t="s">
        <v>548</v>
      </c>
      <c r="F44" s="11"/>
      <c r="G44" s="11"/>
      <c r="H44" s="16" t="s">
        <v>549</v>
      </c>
      <c r="I44" s="13">
        <v>350</v>
      </c>
      <c r="J44" s="13"/>
      <c r="K44" s="13">
        <v>350</v>
      </c>
      <c r="L44" s="13"/>
      <c r="M44" s="13">
        <v>350</v>
      </c>
      <c r="N44" s="13"/>
      <c r="O44" s="13">
        <v>350</v>
      </c>
      <c r="P44" s="13"/>
      <c r="Q44" s="13">
        <v>350</v>
      </c>
      <c r="R44" s="13"/>
      <c r="S44" s="13">
        <v>350</v>
      </c>
      <c r="T44" s="13"/>
      <c r="U44" s="13">
        <v>350</v>
      </c>
      <c r="V44" s="13"/>
      <c r="W44" s="13">
        <v>350</v>
      </c>
      <c r="X44" s="13"/>
      <c r="Y44" s="13">
        <v>350</v>
      </c>
      <c r="Z44" s="13"/>
      <c r="AA44" s="13">
        <v>350</v>
      </c>
      <c r="AB44" s="13"/>
      <c r="AC44" s="13">
        <v>350</v>
      </c>
      <c r="AD44" s="13"/>
      <c r="AE44" s="13">
        <v>350</v>
      </c>
      <c r="AF44" s="13"/>
      <c r="AG44" s="13">
        <v>350</v>
      </c>
      <c r="AH44" s="13"/>
      <c r="AI44">
        <v>350</v>
      </c>
      <c r="AK44">
        <v>350</v>
      </c>
      <c r="AM44" s="18"/>
      <c r="AO44" s="7">
        <v>1</v>
      </c>
    </row>
    <row r="45" spans="1:42" x14ac:dyDescent="0.3">
      <c r="A45" s="11" t="s">
        <v>550</v>
      </c>
      <c r="B45" s="11" t="s">
        <v>452</v>
      </c>
      <c r="C45" s="11"/>
      <c r="D45" s="10">
        <v>18</v>
      </c>
      <c r="E45" s="11" t="s">
        <v>551</v>
      </c>
      <c r="F45" s="11"/>
      <c r="G45" s="11"/>
      <c r="H45" s="1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M45" s="18"/>
    </row>
    <row r="46" spans="1:42" x14ac:dyDescent="0.3">
      <c r="A46" s="8" t="s">
        <v>552</v>
      </c>
      <c r="B46" s="8" t="s">
        <v>389</v>
      </c>
      <c r="C46" s="8"/>
      <c r="D46" s="10">
        <v>18</v>
      </c>
      <c r="E46" s="11" t="s">
        <v>553</v>
      </c>
      <c r="F46" s="11"/>
      <c r="G46" s="11"/>
      <c r="H46" s="26" t="s">
        <v>554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M46" s="18"/>
    </row>
    <row r="47" spans="1:42" x14ac:dyDescent="0.3">
      <c r="A47" s="11" t="s">
        <v>131</v>
      </c>
      <c r="B47" s="11" t="s">
        <v>132</v>
      </c>
      <c r="C47" s="9" t="s">
        <v>555</v>
      </c>
      <c r="D47" s="10">
        <v>19</v>
      </c>
      <c r="E47" s="11" t="s">
        <v>556</v>
      </c>
      <c r="F47" s="28"/>
      <c r="G47" s="28"/>
      <c r="H47" s="25" t="s">
        <v>557</v>
      </c>
      <c r="I47" s="13">
        <v>350</v>
      </c>
      <c r="J47" s="13"/>
      <c r="K47" s="13">
        <v>350</v>
      </c>
      <c r="L47" s="13"/>
      <c r="M47" s="13">
        <v>350</v>
      </c>
      <c r="N47" s="13"/>
      <c r="O47" s="13">
        <v>350</v>
      </c>
      <c r="P47" s="13"/>
      <c r="Q47" s="13">
        <v>350</v>
      </c>
      <c r="R47" s="13"/>
      <c r="S47" s="13">
        <v>350</v>
      </c>
      <c r="T47" s="13"/>
      <c r="U47" s="13">
        <v>350</v>
      </c>
      <c r="V47" s="13"/>
      <c r="W47" s="13">
        <v>350</v>
      </c>
      <c r="X47" s="13"/>
      <c r="Y47" s="13">
        <v>350</v>
      </c>
      <c r="Z47" s="13"/>
      <c r="AA47" s="13">
        <v>350</v>
      </c>
      <c r="AB47" s="13"/>
      <c r="AC47" s="13">
        <v>350</v>
      </c>
      <c r="AD47" s="13"/>
      <c r="AE47" s="13">
        <v>350</v>
      </c>
      <c r="AF47" s="13"/>
      <c r="AG47" s="13">
        <v>350</v>
      </c>
      <c r="AH47" s="13">
        <v>1000</v>
      </c>
      <c r="AI47">
        <v>350</v>
      </c>
      <c r="AK47">
        <v>350</v>
      </c>
      <c r="AM47" s="18" t="s">
        <v>500</v>
      </c>
      <c r="AO47" s="7">
        <v>1</v>
      </c>
      <c r="AP47" s="27">
        <v>1000</v>
      </c>
    </row>
    <row r="48" spans="1:42" x14ac:dyDescent="0.3">
      <c r="A48" s="11" t="s">
        <v>558</v>
      </c>
      <c r="B48" s="11" t="s">
        <v>132</v>
      </c>
      <c r="C48" s="9"/>
      <c r="D48" s="10">
        <v>19</v>
      </c>
      <c r="E48" s="11" t="s">
        <v>559</v>
      </c>
      <c r="F48" s="28"/>
      <c r="G48" s="28"/>
      <c r="H48" s="25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M48" s="18"/>
    </row>
    <row r="49" spans="1:41" x14ac:dyDescent="0.3">
      <c r="A49" s="11" t="s">
        <v>560</v>
      </c>
      <c r="B49" s="11" t="s">
        <v>132</v>
      </c>
      <c r="C49" s="9" t="s">
        <v>561</v>
      </c>
      <c r="D49" s="10">
        <v>20</v>
      </c>
      <c r="E49" s="11" t="s">
        <v>562</v>
      </c>
      <c r="F49" s="11" t="s">
        <v>563</v>
      </c>
      <c r="G49" s="28"/>
      <c r="H49" s="19"/>
      <c r="I49" s="13">
        <v>350</v>
      </c>
      <c r="J49" s="13"/>
      <c r="K49" s="13">
        <v>350</v>
      </c>
      <c r="L49" s="13"/>
      <c r="M49" s="13">
        <v>350</v>
      </c>
      <c r="N49" s="13"/>
      <c r="O49" s="13">
        <v>350</v>
      </c>
      <c r="P49" s="13"/>
      <c r="Q49" s="13">
        <v>350</v>
      </c>
      <c r="R49" s="13"/>
      <c r="S49" s="13">
        <v>350</v>
      </c>
      <c r="T49" s="13"/>
      <c r="U49" s="13">
        <v>350</v>
      </c>
      <c r="V49" s="13"/>
      <c r="W49" s="13">
        <v>350</v>
      </c>
      <c r="X49" s="13"/>
      <c r="Y49" s="13">
        <v>350</v>
      </c>
      <c r="Z49" s="13"/>
      <c r="AA49" s="13">
        <v>350</v>
      </c>
      <c r="AB49" s="13"/>
      <c r="AC49" s="13">
        <v>350</v>
      </c>
      <c r="AD49" s="13"/>
      <c r="AE49" s="13">
        <v>350</v>
      </c>
      <c r="AF49" s="13"/>
      <c r="AG49" s="13">
        <v>350</v>
      </c>
      <c r="AH49" s="13"/>
      <c r="AI49">
        <v>350</v>
      </c>
      <c r="AK49">
        <v>350</v>
      </c>
      <c r="AM49" s="18"/>
      <c r="AO49" s="7">
        <v>1</v>
      </c>
    </row>
    <row r="50" spans="1:41" x14ac:dyDescent="0.3">
      <c r="A50" s="11" t="s">
        <v>564</v>
      </c>
      <c r="B50" s="11" t="s">
        <v>132</v>
      </c>
      <c r="C50" s="9"/>
      <c r="D50" s="10">
        <v>20</v>
      </c>
      <c r="E50" s="11" t="s">
        <v>565</v>
      </c>
      <c r="F50" s="11"/>
      <c r="G50" s="28"/>
      <c r="H50" s="19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M50" s="18"/>
    </row>
    <row r="51" spans="1:41" x14ac:dyDescent="0.3">
      <c r="A51" s="8" t="s">
        <v>566</v>
      </c>
      <c r="B51" s="8" t="s">
        <v>389</v>
      </c>
      <c r="C51" s="8"/>
      <c r="D51" s="10">
        <v>20</v>
      </c>
      <c r="E51" s="11" t="s">
        <v>567</v>
      </c>
      <c r="F51" s="11"/>
      <c r="G51" s="11"/>
      <c r="H51" s="25" t="s">
        <v>568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M51" s="18"/>
    </row>
    <row r="52" spans="1:41" x14ac:dyDescent="0.3">
      <c r="A52" s="8" t="s">
        <v>569</v>
      </c>
      <c r="B52" s="8" t="s">
        <v>389</v>
      </c>
      <c r="C52" s="8"/>
      <c r="D52" s="10">
        <v>20</v>
      </c>
      <c r="E52" s="11" t="s">
        <v>570</v>
      </c>
      <c r="F52" s="11"/>
      <c r="G52" s="11"/>
      <c r="H52" s="26" t="s">
        <v>571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M52" s="18"/>
    </row>
    <row r="53" spans="1:41" x14ac:dyDescent="0.3">
      <c r="A53" s="8" t="s">
        <v>572</v>
      </c>
      <c r="B53" s="11" t="s">
        <v>132</v>
      </c>
      <c r="C53" s="11"/>
      <c r="D53" s="10">
        <v>21</v>
      </c>
      <c r="E53" s="11" t="s">
        <v>573</v>
      </c>
      <c r="F53" s="11"/>
      <c r="G53" s="11"/>
      <c r="H53" s="12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M53" s="18"/>
    </row>
    <row r="54" spans="1:41" x14ac:dyDescent="0.3">
      <c r="A54" s="8" t="s">
        <v>574</v>
      </c>
      <c r="B54" s="11" t="s">
        <v>132</v>
      </c>
      <c r="C54" s="11"/>
      <c r="D54" s="10">
        <v>21</v>
      </c>
      <c r="E54" s="11" t="s">
        <v>575</v>
      </c>
      <c r="F54" s="11"/>
      <c r="G54" s="11"/>
      <c r="H54" s="12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M54" s="18"/>
    </row>
    <row r="55" spans="1:41" x14ac:dyDescent="0.3">
      <c r="A55" s="8" t="s">
        <v>576</v>
      </c>
      <c r="B55" s="11" t="s">
        <v>132</v>
      </c>
      <c r="C55" s="11"/>
      <c r="D55" s="10">
        <v>21</v>
      </c>
      <c r="E55" s="11" t="s">
        <v>577</v>
      </c>
      <c r="F55" s="11"/>
      <c r="G55" s="11"/>
      <c r="H55" s="1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M55" s="18"/>
    </row>
    <row r="56" spans="1:41" x14ac:dyDescent="0.3">
      <c r="A56" s="8" t="s">
        <v>578</v>
      </c>
      <c r="B56" s="11" t="s">
        <v>132</v>
      </c>
      <c r="C56" s="11"/>
      <c r="D56" s="10">
        <v>22</v>
      </c>
      <c r="E56" s="11" t="s">
        <v>579</v>
      </c>
      <c r="F56" s="11"/>
      <c r="G56" s="11"/>
      <c r="H56" s="12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M56" s="18"/>
    </row>
    <row r="57" spans="1:41" x14ac:dyDescent="0.3">
      <c r="A57" s="8" t="s">
        <v>580</v>
      </c>
      <c r="B57" s="11" t="s">
        <v>132</v>
      </c>
      <c r="C57" s="11"/>
      <c r="D57" s="10">
        <v>22</v>
      </c>
      <c r="E57" s="11" t="s">
        <v>581</v>
      </c>
      <c r="F57" s="11"/>
      <c r="G57" s="11"/>
      <c r="H57" s="12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M57" s="18"/>
    </row>
    <row r="58" spans="1:41" x14ac:dyDescent="0.3">
      <c r="A58" s="8" t="s">
        <v>582</v>
      </c>
      <c r="B58" s="11" t="s">
        <v>39</v>
      </c>
      <c r="C58" s="11"/>
      <c r="D58" s="10">
        <v>22</v>
      </c>
      <c r="E58" s="11" t="s">
        <v>583</v>
      </c>
      <c r="F58" s="11"/>
      <c r="G58" s="11"/>
      <c r="H58" s="16" t="s">
        <v>584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M58" s="18"/>
    </row>
    <row r="59" spans="1:41" x14ac:dyDescent="0.3">
      <c r="A59" s="8" t="s">
        <v>585</v>
      </c>
      <c r="B59" s="11" t="s">
        <v>39</v>
      </c>
      <c r="C59" s="11"/>
      <c r="D59" s="10">
        <v>22</v>
      </c>
      <c r="E59" s="11" t="s">
        <v>586</v>
      </c>
      <c r="F59" s="11"/>
      <c r="G59" s="11"/>
      <c r="H59" s="16" t="s">
        <v>587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M59" s="18"/>
    </row>
    <row r="60" spans="1:41" x14ac:dyDescent="0.3">
      <c r="A60" s="8" t="s">
        <v>588</v>
      </c>
      <c r="B60" s="8" t="s">
        <v>139</v>
      </c>
      <c r="C60" s="8"/>
      <c r="D60" s="10">
        <v>22</v>
      </c>
      <c r="E60" s="11" t="s">
        <v>589</v>
      </c>
      <c r="F60" s="11"/>
      <c r="G60" s="11"/>
      <c r="H60" s="19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M60" s="18"/>
    </row>
    <row r="61" spans="1:41" x14ac:dyDescent="0.3">
      <c r="A61" s="8" t="s">
        <v>590</v>
      </c>
      <c r="B61" s="8" t="s">
        <v>389</v>
      </c>
      <c r="C61" s="11" t="s">
        <v>493</v>
      </c>
      <c r="D61" s="10">
        <v>22</v>
      </c>
      <c r="E61" s="11"/>
      <c r="F61" s="11"/>
      <c r="G61" s="11"/>
      <c r="H61" s="12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13">
        <v>4200</v>
      </c>
      <c r="AE61" s="13"/>
      <c r="AF61" s="13"/>
      <c r="AG61" s="13"/>
      <c r="AH61" s="13"/>
      <c r="AM61" s="18" t="s">
        <v>591</v>
      </c>
      <c r="AO61" s="7">
        <v>1</v>
      </c>
    </row>
    <row r="62" spans="1:41" x14ac:dyDescent="0.3">
      <c r="A62" s="8" t="s">
        <v>592</v>
      </c>
      <c r="B62" s="11" t="s">
        <v>132</v>
      </c>
      <c r="C62" s="11" t="s">
        <v>506</v>
      </c>
      <c r="D62" s="10">
        <v>23</v>
      </c>
      <c r="E62" s="31" t="s">
        <v>593</v>
      </c>
      <c r="F62" s="11"/>
      <c r="G62" s="11"/>
      <c r="H62" s="12" t="s">
        <v>594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M62" s="18" t="s">
        <v>595</v>
      </c>
    </row>
    <row r="63" spans="1:41" x14ac:dyDescent="0.3">
      <c r="A63" s="8" t="s">
        <v>596</v>
      </c>
      <c r="B63" s="11" t="s">
        <v>39</v>
      </c>
      <c r="C63" s="11"/>
      <c r="D63" s="10">
        <v>23</v>
      </c>
      <c r="E63" s="11" t="s">
        <v>597</v>
      </c>
      <c r="F63" s="11"/>
      <c r="G63" s="11"/>
      <c r="H63" s="16" t="s">
        <v>598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M63" s="18"/>
    </row>
    <row r="64" spans="1:41" x14ac:dyDescent="0.3">
      <c r="A64" s="8" t="s">
        <v>599</v>
      </c>
      <c r="B64" s="11" t="s">
        <v>39</v>
      </c>
      <c r="C64" s="11"/>
      <c r="D64" s="10">
        <v>23</v>
      </c>
      <c r="E64" s="11" t="s">
        <v>600</v>
      </c>
      <c r="F64" s="11"/>
      <c r="G64" s="11"/>
      <c r="H64" s="19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M64" s="18"/>
    </row>
    <row r="65" spans="1:41" x14ac:dyDescent="0.3">
      <c r="A65" s="8" t="s">
        <v>601</v>
      </c>
      <c r="B65" s="8" t="s">
        <v>389</v>
      </c>
      <c r="C65" s="8"/>
      <c r="D65" s="10">
        <v>24</v>
      </c>
      <c r="E65" s="11" t="s">
        <v>602</v>
      </c>
      <c r="F65" s="11"/>
      <c r="G65" s="11"/>
      <c r="H65" s="26" t="s">
        <v>603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M65" s="18"/>
    </row>
    <row r="66" spans="1:41" x14ac:dyDescent="0.3">
      <c r="A66" s="8" t="s">
        <v>604</v>
      </c>
      <c r="B66" s="8" t="s">
        <v>145</v>
      </c>
      <c r="C66" s="8"/>
      <c r="D66" s="10">
        <v>24</v>
      </c>
      <c r="E66" s="11" t="s">
        <v>605</v>
      </c>
      <c r="F66" s="11"/>
      <c r="G66" s="11"/>
      <c r="H66" s="25" t="s">
        <v>606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M66" s="18"/>
    </row>
    <row r="67" spans="1:41" x14ac:dyDescent="0.3">
      <c r="A67" s="8" t="s">
        <v>607</v>
      </c>
      <c r="B67" s="8" t="s">
        <v>145</v>
      </c>
      <c r="C67" s="8"/>
      <c r="D67" s="10">
        <v>24</v>
      </c>
      <c r="E67" s="11" t="s">
        <v>608</v>
      </c>
      <c r="F67" s="11"/>
      <c r="G67" s="11"/>
      <c r="H67" s="25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M67" s="18"/>
    </row>
    <row r="68" spans="1:41" x14ac:dyDescent="0.3">
      <c r="A68" s="8" t="s">
        <v>609</v>
      </c>
      <c r="B68" s="11" t="s">
        <v>132</v>
      </c>
      <c r="C68" s="11"/>
      <c r="D68" s="10">
        <v>25</v>
      </c>
      <c r="E68" s="11" t="s">
        <v>610</v>
      </c>
      <c r="F68" s="11"/>
      <c r="G68" s="11"/>
      <c r="H68" s="12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M68" s="18"/>
    </row>
    <row r="69" spans="1:41" x14ac:dyDescent="0.3">
      <c r="A69" s="8" t="s">
        <v>611</v>
      </c>
      <c r="B69" s="11" t="s">
        <v>132</v>
      </c>
      <c r="C69" s="9" t="s">
        <v>612</v>
      </c>
      <c r="D69" s="10">
        <v>25</v>
      </c>
      <c r="E69" s="11" t="s">
        <v>613</v>
      </c>
      <c r="F69" s="11" t="s">
        <v>614</v>
      </c>
      <c r="G69" s="11"/>
      <c r="H69" s="26" t="s">
        <v>615</v>
      </c>
      <c r="I69" s="13">
        <v>385</v>
      </c>
      <c r="J69" s="13"/>
      <c r="K69" s="13">
        <v>385</v>
      </c>
      <c r="L69" s="13"/>
      <c r="M69" s="13">
        <v>385</v>
      </c>
      <c r="N69" s="13"/>
      <c r="O69" s="13">
        <v>385</v>
      </c>
      <c r="P69" s="13"/>
      <c r="Q69" s="13">
        <v>385</v>
      </c>
      <c r="R69" s="13"/>
      <c r="S69" s="13">
        <v>385</v>
      </c>
      <c r="T69" s="13"/>
      <c r="U69" s="13">
        <v>385</v>
      </c>
      <c r="V69" s="13"/>
      <c r="W69" s="13">
        <v>385</v>
      </c>
      <c r="X69" s="13"/>
      <c r="Y69" s="13">
        <v>385</v>
      </c>
      <c r="Z69" s="13"/>
      <c r="AA69" s="13">
        <v>385</v>
      </c>
      <c r="AB69" s="13"/>
      <c r="AC69" s="13">
        <v>385</v>
      </c>
      <c r="AD69" s="13"/>
      <c r="AE69" s="13">
        <v>385</v>
      </c>
      <c r="AF69" s="13"/>
      <c r="AG69" s="13">
        <v>385</v>
      </c>
      <c r="AH69" s="13"/>
      <c r="AI69">
        <v>385</v>
      </c>
      <c r="AK69">
        <v>385</v>
      </c>
      <c r="AM69" s="18"/>
      <c r="AO69" s="7">
        <v>1</v>
      </c>
    </row>
    <row r="70" spans="1:41" x14ac:dyDescent="0.3">
      <c r="A70" s="8" t="s">
        <v>616</v>
      </c>
      <c r="B70" s="11" t="s">
        <v>132</v>
      </c>
      <c r="C70" s="9"/>
      <c r="D70" s="10">
        <v>25</v>
      </c>
      <c r="E70" s="11"/>
      <c r="F70" s="11"/>
      <c r="G70" s="11"/>
      <c r="H70" s="12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M70" s="18"/>
    </row>
    <row r="71" spans="1:41" x14ac:dyDescent="0.3">
      <c r="A71" s="8" t="s">
        <v>617</v>
      </c>
      <c r="B71" s="11" t="s">
        <v>132</v>
      </c>
      <c r="C71" s="9"/>
      <c r="D71" s="10">
        <v>25</v>
      </c>
      <c r="E71" s="11" t="s">
        <v>618</v>
      </c>
      <c r="F71" s="11"/>
      <c r="G71" s="11"/>
      <c r="H71" s="12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M71" s="18"/>
    </row>
    <row r="72" spans="1:41" x14ac:dyDescent="0.3">
      <c r="A72" s="8" t="s">
        <v>619</v>
      </c>
      <c r="B72" s="11" t="s">
        <v>39</v>
      </c>
      <c r="C72" s="11" t="s">
        <v>620</v>
      </c>
      <c r="D72" s="10">
        <v>25</v>
      </c>
      <c r="E72" s="11" t="s">
        <v>621</v>
      </c>
      <c r="F72" s="11"/>
      <c r="G72" s="11"/>
      <c r="H72" s="25" t="s">
        <v>622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>
        <v>350</v>
      </c>
      <c r="AD72" s="13"/>
      <c r="AE72" s="13">
        <v>350</v>
      </c>
      <c r="AF72" s="13"/>
      <c r="AG72" s="13">
        <v>350</v>
      </c>
      <c r="AH72" s="13"/>
      <c r="AI72">
        <v>350</v>
      </c>
      <c r="AK72">
        <v>350</v>
      </c>
      <c r="AM72" s="18" t="s">
        <v>623</v>
      </c>
      <c r="AO72" s="7">
        <v>1</v>
      </c>
    </row>
    <row r="73" spans="1:41" x14ac:dyDescent="0.3">
      <c r="A73" s="8" t="s">
        <v>624</v>
      </c>
      <c r="B73" s="8" t="s">
        <v>625</v>
      </c>
      <c r="C73" s="8"/>
      <c r="D73" s="10">
        <v>25</v>
      </c>
      <c r="E73" s="11" t="s">
        <v>626</v>
      </c>
      <c r="F73" s="11"/>
      <c r="G73" s="11"/>
      <c r="H73" s="25" t="s">
        <v>627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32"/>
      <c r="AH73" s="20"/>
      <c r="AM73" s="18"/>
    </row>
    <row r="74" spans="1:41" x14ac:dyDescent="0.3">
      <c r="A74" s="8" t="s">
        <v>628</v>
      </c>
      <c r="B74" s="8" t="s">
        <v>145</v>
      </c>
      <c r="C74" s="8"/>
      <c r="D74" s="10">
        <v>26</v>
      </c>
      <c r="E74" s="11" t="s">
        <v>629</v>
      </c>
      <c r="F74" s="11"/>
      <c r="G74" s="11"/>
      <c r="H74" s="12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M74" s="18"/>
    </row>
    <row r="75" spans="1:41" x14ac:dyDescent="0.3">
      <c r="A75" s="8" t="s">
        <v>630</v>
      </c>
      <c r="B75" s="8" t="s">
        <v>145</v>
      </c>
      <c r="C75" s="8"/>
      <c r="D75" s="10">
        <v>26</v>
      </c>
      <c r="E75" s="11" t="s">
        <v>631</v>
      </c>
      <c r="F75" s="11"/>
      <c r="G75" s="11"/>
      <c r="H75" s="12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M75" s="18"/>
    </row>
    <row r="76" spans="1:41" x14ac:dyDescent="0.3">
      <c r="A76" s="8" t="s">
        <v>632</v>
      </c>
      <c r="B76" s="8" t="s">
        <v>145</v>
      </c>
      <c r="C76" s="8"/>
      <c r="D76" s="10">
        <v>26</v>
      </c>
      <c r="E76" s="11" t="s">
        <v>633</v>
      </c>
      <c r="F76" s="11"/>
      <c r="G76" s="11"/>
      <c r="H76" s="2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M76" s="18"/>
    </row>
    <row r="77" spans="1:41" x14ac:dyDescent="0.3">
      <c r="A77" s="8" t="s">
        <v>634</v>
      </c>
      <c r="B77" s="8" t="s">
        <v>145</v>
      </c>
      <c r="C77" s="8"/>
      <c r="D77" s="10">
        <v>26</v>
      </c>
      <c r="E77" s="11" t="s">
        <v>635</v>
      </c>
      <c r="F77" s="11"/>
      <c r="G77" s="11"/>
      <c r="H77" s="16" t="s">
        <v>636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M77" s="18"/>
    </row>
    <row r="78" spans="1:41" x14ac:dyDescent="0.3">
      <c r="A78" s="8" t="s">
        <v>637</v>
      </c>
      <c r="B78" s="8" t="s">
        <v>145</v>
      </c>
      <c r="C78" s="8"/>
      <c r="D78" s="10">
        <v>26</v>
      </c>
      <c r="E78" s="11" t="s">
        <v>631</v>
      </c>
      <c r="F78" s="11"/>
      <c r="G78" s="11"/>
      <c r="H78" s="12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M78" s="18"/>
    </row>
    <row r="79" spans="1:41" x14ac:dyDescent="0.3">
      <c r="A79" s="8" t="s">
        <v>638</v>
      </c>
      <c r="B79" s="11" t="s">
        <v>39</v>
      </c>
      <c r="C79" s="11"/>
      <c r="D79" s="10">
        <v>27</v>
      </c>
      <c r="E79" s="11" t="s">
        <v>639</v>
      </c>
      <c r="F79" s="11"/>
      <c r="G79" s="11"/>
      <c r="H79" s="16" t="s">
        <v>640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M79" s="18"/>
    </row>
    <row r="80" spans="1:41" x14ac:dyDescent="0.3">
      <c r="A80" s="8" t="s">
        <v>641</v>
      </c>
      <c r="B80" s="8" t="s">
        <v>94</v>
      </c>
      <c r="C80" s="8" t="s">
        <v>506</v>
      </c>
      <c r="D80" s="10">
        <v>28</v>
      </c>
      <c r="E80" s="11" t="s">
        <v>642</v>
      </c>
      <c r="F80" s="11" t="s">
        <v>643</v>
      </c>
      <c r="G80" s="11"/>
      <c r="H80" s="25" t="s">
        <v>644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M80" s="18" t="s">
        <v>645</v>
      </c>
    </row>
    <row r="81" spans="1:281" x14ac:dyDescent="0.3">
      <c r="A81" s="8" t="s">
        <v>646</v>
      </c>
      <c r="B81" s="8" t="s">
        <v>68</v>
      </c>
      <c r="C81" s="8"/>
      <c r="D81" s="10">
        <v>28</v>
      </c>
      <c r="E81" s="11" t="s">
        <v>647</v>
      </c>
      <c r="F81" s="11"/>
      <c r="G81" s="11"/>
      <c r="H81" s="12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M81" s="18"/>
    </row>
    <row r="82" spans="1:281" x14ac:dyDescent="0.3">
      <c r="A82" s="8" t="s">
        <v>648</v>
      </c>
      <c r="B82" s="11" t="s">
        <v>132</v>
      </c>
      <c r="C82" s="11"/>
      <c r="D82" s="10">
        <v>28</v>
      </c>
      <c r="E82" s="11" t="s">
        <v>649</v>
      </c>
      <c r="F82" s="11"/>
      <c r="G82" s="11"/>
      <c r="H82" s="25" t="s">
        <v>650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M82" s="18"/>
    </row>
    <row r="83" spans="1:281" x14ac:dyDescent="0.3">
      <c r="A83" s="8" t="s">
        <v>651</v>
      </c>
      <c r="B83" s="8" t="s">
        <v>145</v>
      </c>
      <c r="C83" s="8"/>
      <c r="D83" s="10">
        <v>28</v>
      </c>
      <c r="E83" s="11" t="s">
        <v>652</v>
      </c>
      <c r="F83" s="11"/>
      <c r="G83" s="11"/>
      <c r="H83" s="25" t="s">
        <v>653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M83" s="18"/>
    </row>
    <row r="84" spans="1:281" x14ac:dyDescent="0.3">
      <c r="A84" s="8" t="s">
        <v>654</v>
      </c>
      <c r="B84" s="11" t="s">
        <v>39</v>
      </c>
      <c r="C84" s="11"/>
      <c r="D84" s="10">
        <v>29</v>
      </c>
      <c r="E84" s="11" t="s">
        <v>655</v>
      </c>
      <c r="F84" s="11"/>
      <c r="G84" s="11"/>
      <c r="H84" s="19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M84" s="18"/>
    </row>
    <row r="85" spans="1:281" x14ac:dyDescent="0.3">
      <c r="A85" s="8" t="s">
        <v>167</v>
      </c>
      <c r="B85" s="8" t="s">
        <v>94</v>
      </c>
      <c r="C85" s="8" t="s">
        <v>506</v>
      </c>
      <c r="D85" s="10">
        <v>30</v>
      </c>
      <c r="E85" s="11" t="s">
        <v>656</v>
      </c>
      <c r="F85" s="11" t="s">
        <v>657</v>
      </c>
      <c r="G85" s="11"/>
      <c r="H85" s="25" t="s">
        <v>658</v>
      </c>
      <c r="I85" s="13"/>
      <c r="J85" s="13">
        <v>350</v>
      </c>
      <c r="K85" s="13"/>
      <c r="L85" s="13">
        <v>350</v>
      </c>
      <c r="M85" s="13"/>
      <c r="N85" s="13">
        <v>350</v>
      </c>
      <c r="O85" s="13"/>
      <c r="P85" s="13">
        <v>350</v>
      </c>
      <c r="Q85" s="13"/>
      <c r="R85" s="13">
        <v>350</v>
      </c>
      <c r="S85" s="13"/>
      <c r="T85" s="13">
        <v>350</v>
      </c>
      <c r="U85" s="13"/>
      <c r="V85" s="13">
        <v>350</v>
      </c>
      <c r="W85" s="13"/>
      <c r="X85" s="13">
        <v>350</v>
      </c>
      <c r="Y85" s="13"/>
      <c r="Z85" s="13">
        <v>350</v>
      </c>
      <c r="AA85" s="13"/>
      <c r="AB85" s="13">
        <v>350</v>
      </c>
      <c r="AC85" s="13"/>
      <c r="AD85" s="13">
        <v>350</v>
      </c>
      <c r="AE85" s="13"/>
      <c r="AF85" s="13">
        <v>350</v>
      </c>
      <c r="AG85" s="13"/>
      <c r="AH85" s="13">
        <v>350</v>
      </c>
      <c r="AJ85">
        <v>350</v>
      </c>
      <c r="AL85">
        <v>350</v>
      </c>
      <c r="AM85" s="18"/>
      <c r="AO85" s="7">
        <v>1</v>
      </c>
    </row>
    <row r="86" spans="1:281" x14ac:dyDescent="0.3">
      <c r="A86" s="8" t="s">
        <v>659</v>
      </c>
      <c r="B86" s="8" t="s">
        <v>94</v>
      </c>
      <c r="C86" s="8"/>
      <c r="D86" s="10">
        <v>30</v>
      </c>
      <c r="E86" s="11" t="s">
        <v>660</v>
      </c>
      <c r="F86" s="11"/>
      <c r="G86" s="11"/>
      <c r="H86" s="25" t="s">
        <v>661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M86" s="18"/>
    </row>
    <row r="87" spans="1:281" x14ac:dyDescent="0.3">
      <c r="A87" s="21" t="s">
        <v>662</v>
      </c>
      <c r="B87" s="8" t="s">
        <v>145</v>
      </c>
      <c r="C87" s="8" t="s">
        <v>663</v>
      </c>
      <c r="D87" s="33">
        <v>30</v>
      </c>
      <c r="E87" s="34" t="s">
        <v>664</v>
      </c>
      <c r="F87" s="34"/>
      <c r="G87" s="34"/>
      <c r="H87" s="12"/>
      <c r="I87" s="35"/>
      <c r="J87" s="35"/>
      <c r="K87" s="35">
        <v>350</v>
      </c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M87" s="18"/>
      <c r="AP87" s="36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</row>
    <row r="88" spans="1:281" x14ac:dyDescent="0.3">
      <c r="A88" s="21" t="s">
        <v>665</v>
      </c>
      <c r="B88" s="8" t="s">
        <v>145</v>
      </c>
      <c r="C88" s="8"/>
      <c r="D88" s="33">
        <v>30</v>
      </c>
      <c r="E88" s="34" t="s">
        <v>666</v>
      </c>
      <c r="F88" s="34"/>
      <c r="G88" s="34"/>
      <c r="H88" s="25" t="s">
        <v>667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M88" s="18"/>
      <c r="AP88" s="36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</row>
    <row r="89" spans="1:281" x14ac:dyDescent="0.3">
      <c r="A89" s="8" t="s">
        <v>668</v>
      </c>
      <c r="B89" s="8" t="s">
        <v>145</v>
      </c>
      <c r="C89" s="8"/>
      <c r="D89" s="10">
        <v>30</v>
      </c>
      <c r="E89" s="11" t="s">
        <v>669</v>
      </c>
      <c r="F89" s="11"/>
      <c r="G89" s="11"/>
      <c r="H89" s="12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M89" s="18"/>
    </row>
    <row r="90" spans="1:281" x14ac:dyDescent="0.3">
      <c r="A90" s="8" t="s">
        <v>670</v>
      </c>
      <c r="B90" s="11" t="s">
        <v>39</v>
      </c>
      <c r="C90" s="11"/>
      <c r="D90" s="10">
        <v>31</v>
      </c>
      <c r="E90" s="11" t="s">
        <v>671</v>
      </c>
      <c r="F90" s="11"/>
      <c r="G90" s="11"/>
      <c r="H90" s="25" t="s">
        <v>672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M90" s="18"/>
    </row>
    <row r="91" spans="1:281" x14ac:dyDescent="0.3">
      <c r="A91" s="8" t="s">
        <v>673</v>
      </c>
      <c r="B91" s="11" t="s">
        <v>39</v>
      </c>
      <c r="C91" s="11"/>
      <c r="D91" s="10">
        <v>31</v>
      </c>
      <c r="E91" s="11" t="s">
        <v>674</v>
      </c>
      <c r="F91" s="11"/>
      <c r="G91" s="11"/>
      <c r="H91" s="25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M91" s="18"/>
    </row>
    <row r="92" spans="1:281" x14ac:dyDescent="0.3">
      <c r="A92" s="8" t="s">
        <v>675</v>
      </c>
      <c r="B92" s="11" t="s">
        <v>39</v>
      </c>
      <c r="C92" s="11"/>
      <c r="D92" s="10">
        <v>31</v>
      </c>
      <c r="E92" s="11" t="s">
        <v>676</v>
      </c>
      <c r="F92" s="11"/>
      <c r="G92" s="11"/>
      <c r="H92" s="25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M92" s="18"/>
    </row>
    <row r="93" spans="1:281" x14ac:dyDescent="0.3">
      <c r="A93" s="8" t="s">
        <v>677</v>
      </c>
      <c r="B93" s="8" t="s">
        <v>94</v>
      </c>
      <c r="C93" s="8"/>
      <c r="D93" s="10">
        <v>32</v>
      </c>
      <c r="E93" s="11" t="s">
        <v>678</v>
      </c>
      <c r="F93" s="11"/>
      <c r="G93" s="11"/>
      <c r="H93" s="25" t="s">
        <v>679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M93" s="18"/>
    </row>
    <row r="94" spans="1:281" x14ac:dyDescent="0.3">
      <c r="A94" s="8" t="s">
        <v>680</v>
      </c>
      <c r="B94" s="8" t="s">
        <v>94</v>
      </c>
      <c r="C94" s="8"/>
      <c r="D94" s="10">
        <v>32</v>
      </c>
      <c r="E94" s="11" t="s">
        <v>681</v>
      </c>
      <c r="F94" s="11"/>
      <c r="G94" s="11"/>
      <c r="H94" s="25" t="s">
        <v>682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M94" s="18"/>
    </row>
    <row r="95" spans="1:281" x14ac:dyDescent="0.3">
      <c r="A95" s="8" t="s">
        <v>683</v>
      </c>
      <c r="B95" s="11" t="s">
        <v>25</v>
      </c>
      <c r="C95" s="9" t="s">
        <v>684</v>
      </c>
      <c r="D95" s="10">
        <v>32</v>
      </c>
      <c r="E95" s="11" t="s">
        <v>685</v>
      </c>
      <c r="F95" s="11"/>
      <c r="G95" s="11"/>
      <c r="H95" s="25" t="s">
        <v>686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M95" s="39" t="s">
        <v>687</v>
      </c>
      <c r="AN95" s="40"/>
    </row>
    <row r="96" spans="1:281" x14ac:dyDescent="0.3">
      <c r="A96" s="8" t="s">
        <v>688</v>
      </c>
      <c r="B96" s="8" t="s">
        <v>689</v>
      </c>
      <c r="C96" s="9" t="s">
        <v>690</v>
      </c>
      <c r="D96" s="10">
        <v>33</v>
      </c>
      <c r="E96" s="11" t="s">
        <v>691</v>
      </c>
      <c r="F96" s="11"/>
      <c r="G96" s="11"/>
      <c r="H96" s="25" t="s">
        <v>692</v>
      </c>
      <c r="I96" s="13">
        <v>350</v>
      </c>
      <c r="J96" s="13"/>
      <c r="K96" s="13">
        <v>350</v>
      </c>
      <c r="L96" s="13"/>
      <c r="M96" s="13">
        <v>350</v>
      </c>
      <c r="N96" s="13"/>
      <c r="O96" s="13">
        <v>350</v>
      </c>
      <c r="P96" s="13"/>
      <c r="Q96" s="13">
        <v>350</v>
      </c>
      <c r="R96" s="13"/>
      <c r="S96" s="13">
        <v>350</v>
      </c>
      <c r="T96" s="13"/>
      <c r="U96" s="13">
        <v>350</v>
      </c>
      <c r="V96" s="13"/>
      <c r="W96" s="13">
        <v>350</v>
      </c>
      <c r="X96" s="13"/>
      <c r="Y96" s="13">
        <v>350</v>
      </c>
      <c r="Z96" s="13"/>
      <c r="AA96" s="13">
        <v>350</v>
      </c>
      <c r="AB96" s="13"/>
      <c r="AC96" s="13">
        <v>350</v>
      </c>
      <c r="AD96" s="13"/>
      <c r="AE96" s="13">
        <v>350</v>
      </c>
      <c r="AF96" s="13"/>
      <c r="AG96" s="13">
        <v>350</v>
      </c>
      <c r="AH96" s="13"/>
      <c r="AI96">
        <v>350</v>
      </c>
      <c r="AK96">
        <v>350</v>
      </c>
      <c r="AM96" s="18"/>
      <c r="AO96" s="7">
        <v>1</v>
      </c>
    </row>
    <row r="97" spans="1:42" x14ac:dyDescent="0.3">
      <c r="A97" s="8" t="s">
        <v>693</v>
      </c>
      <c r="B97" s="8" t="s">
        <v>94</v>
      </c>
      <c r="C97" s="8"/>
      <c r="D97" s="10">
        <v>34</v>
      </c>
      <c r="E97" s="11" t="s">
        <v>694</v>
      </c>
      <c r="F97" s="11"/>
      <c r="G97" s="11"/>
      <c r="H97" s="25" t="s">
        <v>695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M97" s="18"/>
    </row>
    <row r="98" spans="1:42" x14ac:dyDescent="0.3">
      <c r="A98" s="8" t="s">
        <v>696</v>
      </c>
      <c r="B98" s="11" t="s">
        <v>25</v>
      </c>
      <c r="C98" s="9"/>
      <c r="D98" s="10">
        <v>34</v>
      </c>
      <c r="E98" s="11" t="s">
        <v>697</v>
      </c>
      <c r="F98" s="11"/>
      <c r="G98" s="11"/>
      <c r="H98" s="25" t="s">
        <v>698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>
        <v>200</v>
      </c>
      <c r="AC98" s="13"/>
      <c r="AD98" s="13"/>
      <c r="AE98" s="13"/>
      <c r="AF98" s="13">
        <v>170</v>
      </c>
      <c r="AG98" s="13"/>
      <c r="AH98" s="13"/>
      <c r="AM98" s="18"/>
    </row>
    <row r="99" spans="1:42" x14ac:dyDescent="0.3">
      <c r="A99" s="8" t="s">
        <v>699</v>
      </c>
      <c r="B99" s="11" t="s">
        <v>39</v>
      </c>
      <c r="C99" s="11"/>
      <c r="D99" s="10">
        <v>35</v>
      </c>
      <c r="E99" s="11" t="s">
        <v>700</v>
      </c>
      <c r="F99" s="11"/>
      <c r="G99" s="11"/>
      <c r="H99" s="26" t="s">
        <v>701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M99" s="18"/>
    </row>
    <row r="100" spans="1:42" x14ac:dyDescent="0.3">
      <c r="A100" s="8" t="s">
        <v>702</v>
      </c>
      <c r="B100" s="8" t="s">
        <v>689</v>
      </c>
      <c r="C100" s="9"/>
      <c r="D100" s="10">
        <v>35</v>
      </c>
      <c r="E100" s="11" t="s">
        <v>703</v>
      </c>
      <c r="F100" s="11" t="s">
        <v>704</v>
      </c>
      <c r="G100" s="11"/>
      <c r="H100" s="25" t="s">
        <v>705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M100" s="18"/>
    </row>
    <row r="101" spans="1:42" x14ac:dyDescent="0.3">
      <c r="A101" s="8" t="s">
        <v>706</v>
      </c>
      <c r="B101" s="8" t="s">
        <v>94</v>
      </c>
      <c r="C101" s="8" t="s">
        <v>707</v>
      </c>
      <c r="D101" s="10">
        <v>36</v>
      </c>
      <c r="E101" s="11" t="s">
        <v>708</v>
      </c>
      <c r="F101" s="11" t="s">
        <v>709</v>
      </c>
      <c r="G101" s="11"/>
      <c r="H101" s="25" t="s">
        <v>710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>
        <v>170</v>
      </c>
      <c r="AH101" s="13"/>
      <c r="AI101">
        <v>170</v>
      </c>
      <c r="AK101">
        <v>170</v>
      </c>
      <c r="AM101" s="39" t="s">
        <v>711</v>
      </c>
      <c r="AN101" s="40"/>
      <c r="AO101" s="7">
        <v>1</v>
      </c>
    </row>
    <row r="102" spans="1:42" x14ac:dyDescent="0.3">
      <c r="A102" s="8" t="s">
        <v>712</v>
      </c>
      <c r="B102" s="11" t="s">
        <v>178</v>
      </c>
      <c r="C102" s="11"/>
      <c r="D102" s="10">
        <v>36</v>
      </c>
      <c r="E102" s="11" t="s">
        <v>713</v>
      </c>
      <c r="F102" s="11" t="s">
        <v>714</v>
      </c>
      <c r="G102" s="11"/>
      <c r="H102" s="19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M102" s="18"/>
    </row>
    <row r="103" spans="1:42" x14ac:dyDescent="0.3">
      <c r="A103" s="8" t="s">
        <v>715</v>
      </c>
      <c r="B103" s="8" t="s">
        <v>105</v>
      </c>
      <c r="C103" s="8"/>
      <c r="D103" s="10">
        <v>36</v>
      </c>
      <c r="E103" s="11" t="s">
        <v>716</v>
      </c>
      <c r="F103" s="11"/>
      <c r="G103" s="11"/>
      <c r="H103" s="12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M103" s="18"/>
    </row>
    <row r="104" spans="1:42" x14ac:dyDescent="0.3">
      <c r="A104" s="8" t="s">
        <v>717</v>
      </c>
      <c r="B104" s="8" t="s">
        <v>105</v>
      </c>
      <c r="C104" s="8"/>
      <c r="D104" s="10">
        <v>36</v>
      </c>
      <c r="E104" s="11" t="s">
        <v>718</v>
      </c>
      <c r="F104" s="11"/>
      <c r="G104" s="11"/>
      <c r="H104" s="26" t="s">
        <v>719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M104" s="18"/>
    </row>
    <row r="105" spans="1:42" x14ac:dyDescent="0.3">
      <c r="A105" s="8" t="s">
        <v>288</v>
      </c>
      <c r="B105" s="8" t="s">
        <v>94</v>
      </c>
      <c r="C105" s="8"/>
      <c r="D105" s="10">
        <v>37</v>
      </c>
      <c r="E105" s="11" t="s">
        <v>720</v>
      </c>
      <c r="F105" s="11"/>
      <c r="G105" s="11"/>
      <c r="H105" s="25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J105">
        <v>0</v>
      </c>
      <c r="AM105" s="18"/>
    </row>
    <row r="106" spans="1:42" x14ac:dyDescent="0.3">
      <c r="A106" s="8" t="s">
        <v>38</v>
      </c>
      <c r="B106" s="11" t="s">
        <v>39</v>
      </c>
      <c r="C106" s="11" t="s">
        <v>506</v>
      </c>
      <c r="D106" s="10">
        <v>37</v>
      </c>
      <c r="E106" s="11" t="s">
        <v>721</v>
      </c>
      <c r="F106" s="11"/>
      <c r="G106" s="11"/>
      <c r="H106" s="25" t="s">
        <v>722</v>
      </c>
      <c r="I106" s="13"/>
      <c r="J106" s="13">
        <v>400</v>
      </c>
      <c r="K106" s="13"/>
      <c r="L106" s="13">
        <v>400</v>
      </c>
      <c r="M106" s="13"/>
      <c r="N106" s="13">
        <v>400</v>
      </c>
      <c r="O106" s="13"/>
      <c r="P106" s="13">
        <v>400</v>
      </c>
      <c r="Q106" s="13"/>
      <c r="R106" s="13">
        <v>400</v>
      </c>
      <c r="S106" s="13"/>
      <c r="T106" s="13">
        <v>400</v>
      </c>
      <c r="U106" s="13"/>
      <c r="V106" s="13">
        <v>400</v>
      </c>
      <c r="W106" s="13"/>
      <c r="X106" s="13">
        <v>400</v>
      </c>
      <c r="Y106" s="13"/>
      <c r="Z106" s="13">
        <v>400</v>
      </c>
      <c r="AA106" s="13"/>
      <c r="AB106" s="13">
        <v>400</v>
      </c>
      <c r="AC106" s="13"/>
      <c r="AD106" s="13">
        <v>350</v>
      </c>
      <c r="AE106" s="13"/>
      <c r="AF106" s="13">
        <v>350</v>
      </c>
      <c r="AG106" s="13"/>
      <c r="AH106" s="13">
        <v>350</v>
      </c>
      <c r="AJ106">
        <v>350</v>
      </c>
      <c r="AL106">
        <v>350</v>
      </c>
      <c r="AM106" s="18"/>
      <c r="AO106" s="7">
        <v>1</v>
      </c>
    </row>
    <row r="107" spans="1:42" x14ac:dyDescent="0.3">
      <c r="A107" s="8" t="s">
        <v>723</v>
      </c>
      <c r="B107" s="11" t="s">
        <v>178</v>
      </c>
      <c r="C107" s="11"/>
      <c r="D107" s="10">
        <v>37</v>
      </c>
      <c r="E107" s="11" t="s">
        <v>724</v>
      </c>
      <c r="F107" s="11"/>
      <c r="G107" s="11"/>
      <c r="H107" s="19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M107" s="18"/>
    </row>
    <row r="108" spans="1:42" x14ac:dyDescent="0.3">
      <c r="A108" s="8" t="s">
        <v>725</v>
      </c>
      <c r="B108" s="11" t="s">
        <v>178</v>
      </c>
      <c r="C108" s="11"/>
      <c r="D108" s="10">
        <v>37</v>
      </c>
      <c r="E108" s="11" t="s">
        <v>726</v>
      </c>
      <c r="F108" s="11"/>
      <c r="G108" s="11"/>
      <c r="H108" s="19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M108" s="18"/>
    </row>
    <row r="109" spans="1:42" x14ac:dyDescent="0.3">
      <c r="A109" s="8" t="s">
        <v>177</v>
      </c>
      <c r="B109" s="11" t="s">
        <v>178</v>
      </c>
      <c r="C109" s="11" t="s">
        <v>506</v>
      </c>
      <c r="D109" s="10">
        <v>37</v>
      </c>
      <c r="E109" s="11" t="s">
        <v>727</v>
      </c>
      <c r="F109" s="11"/>
      <c r="G109" s="11"/>
      <c r="H109" s="25" t="s">
        <v>728</v>
      </c>
      <c r="I109" s="13"/>
      <c r="J109" s="13">
        <v>350</v>
      </c>
      <c r="K109" s="13"/>
      <c r="L109" s="13">
        <v>350</v>
      </c>
      <c r="M109" s="13"/>
      <c r="N109" s="13">
        <f>350+350</f>
        <v>700</v>
      </c>
      <c r="O109" s="13"/>
      <c r="P109" s="13">
        <v>350</v>
      </c>
      <c r="Q109" s="13"/>
      <c r="R109" s="13">
        <v>350</v>
      </c>
      <c r="S109" s="13"/>
      <c r="T109" s="13">
        <v>350</v>
      </c>
      <c r="U109" s="13"/>
      <c r="V109" s="13">
        <v>350</v>
      </c>
      <c r="W109" s="13"/>
      <c r="X109" s="13">
        <v>350</v>
      </c>
      <c r="Y109" s="13"/>
      <c r="Z109" s="13">
        <v>350</v>
      </c>
      <c r="AA109" s="13"/>
      <c r="AB109" s="13">
        <v>350</v>
      </c>
      <c r="AC109" s="13"/>
      <c r="AD109" s="13">
        <v>350</v>
      </c>
      <c r="AE109" s="13"/>
      <c r="AF109" s="13">
        <v>350</v>
      </c>
      <c r="AG109" s="13"/>
      <c r="AH109" s="13">
        <v>350</v>
      </c>
      <c r="AJ109">
        <v>350</v>
      </c>
      <c r="AL109">
        <v>350</v>
      </c>
      <c r="AM109" s="18"/>
      <c r="AN109">
        <v>500</v>
      </c>
      <c r="AO109" s="7">
        <v>1</v>
      </c>
    </row>
    <row r="110" spans="1:42" x14ac:dyDescent="0.3">
      <c r="A110" s="8" t="s">
        <v>729</v>
      </c>
      <c r="B110" s="11" t="s">
        <v>178</v>
      </c>
      <c r="C110" s="11"/>
      <c r="D110" s="10">
        <v>37</v>
      </c>
      <c r="E110" s="11" t="s">
        <v>730</v>
      </c>
      <c r="F110" s="11"/>
      <c r="G110" s="11"/>
      <c r="H110" s="25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M110" s="18"/>
    </row>
    <row r="111" spans="1:42" x14ac:dyDescent="0.3">
      <c r="A111" s="41" t="s">
        <v>731</v>
      </c>
      <c r="B111" s="41" t="s">
        <v>732</v>
      </c>
      <c r="C111" s="41"/>
      <c r="D111" s="42">
        <v>37</v>
      </c>
      <c r="E111" s="41" t="s">
        <v>733</v>
      </c>
      <c r="F111" s="41"/>
      <c r="G111" s="41"/>
      <c r="H111" s="25" t="s">
        <v>734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M111" s="18"/>
    </row>
    <row r="112" spans="1:42" x14ac:dyDescent="0.3">
      <c r="A112" s="8" t="s">
        <v>108</v>
      </c>
      <c r="B112" s="8" t="s">
        <v>94</v>
      </c>
      <c r="C112" s="9" t="s">
        <v>735</v>
      </c>
      <c r="D112" s="10">
        <v>38</v>
      </c>
      <c r="E112" s="11" t="s">
        <v>736</v>
      </c>
      <c r="F112" s="11" t="s">
        <v>737</v>
      </c>
      <c r="G112" s="11"/>
      <c r="H112" s="12"/>
      <c r="I112" s="13">
        <v>440</v>
      </c>
      <c r="J112" s="13"/>
      <c r="K112" s="13">
        <v>440</v>
      </c>
      <c r="L112" s="13"/>
      <c r="M112" s="13">
        <v>440</v>
      </c>
      <c r="N112" s="13"/>
      <c r="O112" s="13">
        <v>440</v>
      </c>
      <c r="P112" s="13"/>
      <c r="Q112" s="13">
        <v>440</v>
      </c>
      <c r="R112" s="13"/>
      <c r="S112" s="13">
        <v>440</v>
      </c>
      <c r="T112" s="13"/>
      <c r="U112" s="13">
        <v>440</v>
      </c>
      <c r="V112" s="13"/>
      <c r="W112" s="13">
        <v>440</v>
      </c>
      <c r="X112" s="13"/>
      <c r="Y112" s="13">
        <v>440</v>
      </c>
      <c r="Z112" s="13"/>
      <c r="AA112" s="13">
        <v>440</v>
      </c>
      <c r="AB112" s="13"/>
      <c r="AC112" s="13">
        <v>440</v>
      </c>
      <c r="AD112" s="13"/>
      <c r="AE112" s="13">
        <v>440</v>
      </c>
      <c r="AF112" s="13"/>
      <c r="AG112" s="13">
        <v>440</v>
      </c>
      <c r="AH112" s="13">
        <v>500</v>
      </c>
      <c r="AI112">
        <v>440</v>
      </c>
      <c r="AK112">
        <v>440</v>
      </c>
      <c r="AM112" s="18" t="s">
        <v>500</v>
      </c>
      <c r="AO112" s="7">
        <v>1</v>
      </c>
      <c r="AP112" s="27">
        <v>500</v>
      </c>
    </row>
    <row r="113" spans="1:42" x14ac:dyDescent="0.3">
      <c r="A113" s="8" t="s">
        <v>738</v>
      </c>
      <c r="B113" s="11" t="s">
        <v>25</v>
      </c>
      <c r="C113" s="11"/>
      <c r="D113" s="10">
        <v>38</v>
      </c>
      <c r="E113" s="11" t="s">
        <v>739</v>
      </c>
      <c r="F113" s="11"/>
      <c r="G113" s="11"/>
      <c r="H113" s="25" t="s">
        <v>740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M113" s="18"/>
    </row>
    <row r="114" spans="1:42" x14ac:dyDescent="0.3">
      <c r="A114" s="8" t="s">
        <v>741</v>
      </c>
      <c r="B114" s="11" t="s">
        <v>178</v>
      </c>
      <c r="C114" s="11"/>
      <c r="D114" s="10">
        <v>38</v>
      </c>
      <c r="E114" s="11" t="s">
        <v>742</v>
      </c>
      <c r="F114" s="11"/>
      <c r="G114" s="11"/>
      <c r="H114" s="25" t="s">
        <v>743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M114" s="18"/>
    </row>
    <row r="115" spans="1:42" x14ac:dyDescent="0.3">
      <c r="A115" s="8" t="s">
        <v>744</v>
      </c>
      <c r="B115" s="8" t="s">
        <v>145</v>
      </c>
      <c r="C115" s="8"/>
      <c r="D115" s="10">
        <v>38</v>
      </c>
      <c r="E115" s="11" t="s">
        <v>745</v>
      </c>
      <c r="F115" s="11"/>
      <c r="G115" s="11"/>
      <c r="H115" s="1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M115" s="18"/>
    </row>
    <row r="116" spans="1:42" x14ac:dyDescent="0.3">
      <c r="A116" s="8" t="s">
        <v>283</v>
      </c>
      <c r="B116" s="11" t="s">
        <v>39</v>
      </c>
      <c r="C116" s="9" t="s">
        <v>746</v>
      </c>
      <c r="D116" s="10">
        <v>39</v>
      </c>
      <c r="E116" s="11"/>
      <c r="F116" s="11"/>
      <c r="G116" s="11"/>
      <c r="H116" s="12"/>
      <c r="I116" s="13">
        <v>350</v>
      </c>
      <c r="J116" s="13"/>
      <c r="K116" s="13">
        <v>350</v>
      </c>
      <c r="L116" s="13"/>
      <c r="M116" s="13">
        <v>350</v>
      </c>
      <c r="N116" s="13"/>
      <c r="O116" s="13">
        <v>350</v>
      </c>
      <c r="P116" s="13"/>
      <c r="Q116" s="13">
        <v>350</v>
      </c>
      <c r="R116" s="13"/>
      <c r="S116" s="13">
        <v>350</v>
      </c>
      <c r="T116" s="13"/>
      <c r="U116" s="13">
        <v>350</v>
      </c>
      <c r="V116" s="13"/>
      <c r="W116" s="13">
        <v>350</v>
      </c>
      <c r="X116" s="13"/>
      <c r="Y116" s="13">
        <v>350</v>
      </c>
      <c r="Z116" s="13"/>
      <c r="AA116" s="13">
        <v>350</v>
      </c>
      <c r="AB116" s="13"/>
      <c r="AC116" s="13">
        <v>350</v>
      </c>
      <c r="AD116" s="13"/>
      <c r="AE116" s="13">
        <v>350</v>
      </c>
      <c r="AF116" s="13"/>
      <c r="AG116" s="13">
        <v>350</v>
      </c>
      <c r="AH116" s="13"/>
      <c r="AI116">
        <v>350</v>
      </c>
      <c r="AJ116">
        <v>400</v>
      </c>
      <c r="AK116">
        <v>350</v>
      </c>
      <c r="AM116" s="18"/>
      <c r="AO116" s="7">
        <v>1</v>
      </c>
    </row>
    <row r="117" spans="1:42" x14ac:dyDescent="0.3">
      <c r="A117" s="8" t="s">
        <v>214</v>
      </c>
      <c r="B117" s="11" t="s">
        <v>178</v>
      </c>
      <c r="C117" s="11" t="s">
        <v>506</v>
      </c>
      <c r="D117" s="10">
        <v>39</v>
      </c>
      <c r="E117" s="11" t="s">
        <v>747</v>
      </c>
      <c r="F117" s="11"/>
      <c r="G117" s="11"/>
      <c r="H117" s="19"/>
      <c r="I117" s="13"/>
      <c r="J117" s="13">
        <v>400</v>
      </c>
      <c r="K117" s="13"/>
      <c r="L117" s="13"/>
      <c r="M117" s="13"/>
      <c r="N117" s="13">
        <v>400</v>
      </c>
      <c r="O117" s="13"/>
      <c r="P117" s="13">
        <f>400+400</f>
        <v>800</v>
      </c>
      <c r="Q117" s="13"/>
      <c r="R117" s="13">
        <v>400</v>
      </c>
      <c r="S117" s="13"/>
      <c r="T117" s="13">
        <v>400</v>
      </c>
      <c r="U117" s="13"/>
      <c r="V117" s="13">
        <v>400</v>
      </c>
      <c r="W117" s="13"/>
      <c r="X117" s="13"/>
      <c r="Y117" s="13"/>
      <c r="Z117" s="13">
        <v>400</v>
      </c>
      <c r="AA117" s="13"/>
      <c r="AB117" s="13">
        <f>400+400</f>
        <v>800</v>
      </c>
      <c r="AC117" s="13"/>
      <c r="AD117" s="13">
        <v>400</v>
      </c>
      <c r="AE117" s="13"/>
      <c r="AF117" s="13">
        <v>400</v>
      </c>
      <c r="AG117" s="13"/>
      <c r="AH117" s="13">
        <f>400+500</f>
        <v>900</v>
      </c>
      <c r="AL117">
        <v>400</v>
      </c>
      <c r="AM117" s="18" t="s">
        <v>500</v>
      </c>
      <c r="AO117" s="7">
        <v>1</v>
      </c>
      <c r="AP117" s="27">
        <v>500</v>
      </c>
    </row>
    <row r="118" spans="1:42" x14ac:dyDescent="0.3">
      <c r="A118" s="8" t="s">
        <v>748</v>
      </c>
      <c r="B118" s="11" t="s">
        <v>178</v>
      </c>
      <c r="C118" s="11"/>
      <c r="D118" s="10">
        <v>39</v>
      </c>
      <c r="E118" s="11" t="s">
        <v>749</v>
      </c>
      <c r="F118" s="11"/>
      <c r="G118" s="11"/>
      <c r="H118" s="19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M118" s="18"/>
    </row>
    <row r="119" spans="1:42" x14ac:dyDescent="0.3">
      <c r="A119" s="8" t="s">
        <v>750</v>
      </c>
      <c r="B119" s="11" t="s">
        <v>178</v>
      </c>
      <c r="C119" s="11"/>
      <c r="D119" s="10">
        <v>39</v>
      </c>
      <c r="E119" s="11" t="s">
        <v>751</v>
      </c>
      <c r="F119" s="11"/>
      <c r="G119" s="11"/>
      <c r="H119" s="25" t="s">
        <v>752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M119" s="18"/>
    </row>
    <row r="120" spans="1:42" x14ac:dyDescent="0.3">
      <c r="A120" s="8" t="s">
        <v>753</v>
      </c>
      <c r="B120" s="11" t="s">
        <v>178</v>
      </c>
      <c r="C120" s="11"/>
      <c r="D120" s="10">
        <v>39</v>
      </c>
      <c r="E120" s="11" t="s">
        <v>754</v>
      </c>
      <c r="F120" s="11"/>
      <c r="G120" s="11"/>
      <c r="H120" s="25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M120" s="18"/>
    </row>
    <row r="121" spans="1:42" x14ac:dyDescent="0.3">
      <c r="A121" s="8" t="s">
        <v>248</v>
      </c>
      <c r="B121" s="8" t="s">
        <v>249</v>
      </c>
      <c r="C121" s="8"/>
      <c r="D121" s="10">
        <v>40</v>
      </c>
      <c r="E121" s="11" t="s">
        <v>755</v>
      </c>
      <c r="F121" s="11"/>
      <c r="G121" s="11"/>
      <c r="H121" s="12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M121" s="18"/>
      <c r="AN121">
        <v>0</v>
      </c>
    </row>
    <row r="122" spans="1:42" x14ac:dyDescent="0.3">
      <c r="A122" s="8" t="s">
        <v>756</v>
      </c>
      <c r="B122" s="11" t="s">
        <v>25</v>
      </c>
      <c r="C122" s="11"/>
      <c r="D122" s="10">
        <v>40</v>
      </c>
      <c r="E122" s="11" t="s">
        <v>757</v>
      </c>
      <c r="F122" s="11"/>
      <c r="G122" s="11"/>
      <c r="H122" s="12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M122" s="18"/>
    </row>
    <row r="123" spans="1:42" x14ac:dyDescent="0.3">
      <c r="A123" s="8" t="s">
        <v>758</v>
      </c>
      <c r="B123" s="11" t="s">
        <v>25</v>
      </c>
      <c r="C123" s="11"/>
      <c r="D123" s="10">
        <v>40</v>
      </c>
      <c r="E123" s="11" t="s">
        <v>759</v>
      </c>
      <c r="F123" s="11"/>
      <c r="G123" s="11"/>
      <c r="H123" s="12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M123" s="18"/>
    </row>
    <row r="124" spans="1:42" x14ac:dyDescent="0.3">
      <c r="A124" s="8" t="s">
        <v>760</v>
      </c>
      <c r="B124" s="11" t="s">
        <v>178</v>
      </c>
      <c r="C124" s="9" t="s">
        <v>761</v>
      </c>
      <c r="D124" s="10">
        <v>40</v>
      </c>
      <c r="E124" s="11" t="s">
        <v>762</v>
      </c>
      <c r="F124" s="11"/>
      <c r="G124" s="11"/>
      <c r="H124" s="19"/>
      <c r="I124" s="13">
        <v>350</v>
      </c>
      <c r="J124" s="13"/>
      <c r="K124" s="13">
        <v>350</v>
      </c>
      <c r="L124" s="13"/>
      <c r="M124" s="13">
        <v>350</v>
      </c>
      <c r="N124" s="13"/>
      <c r="O124" s="13">
        <v>350</v>
      </c>
      <c r="P124" s="13"/>
      <c r="Q124" s="13">
        <v>350</v>
      </c>
      <c r="R124" s="13"/>
      <c r="S124" s="13">
        <v>350</v>
      </c>
      <c r="T124" s="13"/>
      <c r="U124" s="13">
        <v>350</v>
      </c>
      <c r="V124" s="13"/>
      <c r="W124" s="13">
        <v>350</v>
      </c>
      <c r="X124" s="13"/>
      <c r="Y124" s="13">
        <v>350</v>
      </c>
      <c r="Z124" s="13"/>
      <c r="AA124" s="13">
        <v>350</v>
      </c>
      <c r="AB124" s="13"/>
      <c r="AC124" s="13">
        <v>350</v>
      </c>
      <c r="AD124" s="13"/>
      <c r="AE124" s="13">
        <v>350</v>
      </c>
      <c r="AF124" s="13"/>
      <c r="AG124" s="13">
        <v>350</v>
      </c>
      <c r="AH124" s="13"/>
      <c r="AI124">
        <v>350</v>
      </c>
      <c r="AK124">
        <v>350</v>
      </c>
      <c r="AM124" s="18"/>
      <c r="AO124" s="7">
        <v>1</v>
      </c>
    </row>
    <row r="125" spans="1:42" x14ac:dyDescent="0.3">
      <c r="A125" s="8" t="s">
        <v>763</v>
      </c>
      <c r="B125" s="11" t="s">
        <v>178</v>
      </c>
      <c r="C125" s="9"/>
      <c r="D125" s="10">
        <v>40</v>
      </c>
      <c r="E125" s="11" t="s">
        <v>764</v>
      </c>
      <c r="F125" s="11"/>
      <c r="G125" s="11"/>
      <c r="H125" s="19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M125" s="18"/>
    </row>
    <row r="126" spans="1:42" x14ac:dyDescent="0.3">
      <c r="A126" s="8" t="s">
        <v>241</v>
      </c>
      <c r="B126" s="8" t="s">
        <v>145</v>
      </c>
      <c r="C126" s="9" t="s">
        <v>765</v>
      </c>
      <c r="D126" s="10">
        <v>40</v>
      </c>
      <c r="E126" s="11" t="s">
        <v>745</v>
      </c>
      <c r="F126" s="11"/>
      <c r="G126" s="11"/>
      <c r="H126" s="12"/>
      <c r="I126" s="13">
        <v>200</v>
      </c>
      <c r="J126" s="13"/>
      <c r="K126" s="13">
        <v>200</v>
      </c>
      <c r="L126" s="13"/>
      <c r="M126" s="13">
        <v>200</v>
      </c>
      <c r="N126" s="13"/>
      <c r="O126" s="13">
        <v>200</v>
      </c>
      <c r="P126" s="13"/>
      <c r="Q126" s="13">
        <v>200</v>
      </c>
      <c r="R126" s="13"/>
      <c r="S126" s="13">
        <v>200</v>
      </c>
      <c r="T126" s="13"/>
      <c r="U126" s="13">
        <v>200</v>
      </c>
      <c r="V126" s="13"/>
      <c r="W126" s="13">
        <v>200</v>
      </c>
      <c r="X126" s="13"/>
      <c r="Y126" s="13">
        <v>200</v>
      </c>
      <c r="Z126" s="13"/>
      <c r="AA126" s="13">
        <v>200</v>
      </c>
      <c r="AB126" s="13"/>
      <c r="AC126" s="13">
        <v>200</v>
      </c>
      <c r="AD126" s="13"/>
      <c r="AE126" s="13">
        <v>200</v>
      </c>
      <c r="AF126" s="13">
        <v>500</v>
      </c>
      <c r="AG126" s="13">
        <v>200</v>
      </c>
      <c r="AH126" s="13"/>
      <c r="AI126">
        <v>200</v>
      </c>
      <c r="AK126">
        <v>200</v>
      </c>
      <c r="AM126" s="18"/>
      <c r="AN126">
        <v>1000</v>
      </c>
      <c r="AO126" s="7">
        <v>1</v>
      </c>
    </row>
    <row r="127" spans="1:42" x14ac:dyDescent="0.3">
      <c r="A127" s="8" t="s">
        <v>766</v>
      </c>
      <c r="B127" s="8" t="s">
        <v>145</v>
      </c>
      <c r="C127" s="8"/>
      <c r="D127" s="10">
        <v>40</v>
      </c>
      <c r="E127" s="11" t="s">
        <v>767</v>
      </c>
      <c r="F127" s="11"/>
      <c r="G127" s="11"/>
      <c r="H127" s="25" t="s">
        <v>768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M127" s="18"/>
    </row>
    <row r="128" spans="1:42" x14ac:dyDescent="0.3">
      <c r="A128" s="8" t="s">
        <v>159</v>
      </c>
      <c r="B128" s="11" t="s">
        <v>39</v>
      </c>
      <c r="C128" s="11" t="s">
        <v>506</v>
      </c>
      <c r="D128" s="10">
        <v>41</v>
      </c>
      <c r="E128" s="11" t="s">
        <v>769</v>
      </c>
      <c r="F128" s="11"/>
      <c r="G128" s="11"/>
      <c r="H128" s="26" t="s">
        <v>770</v>
      </c>
      <c r="I128" s="13"/>
      <c r="J128" s="13">
        <v>250</v>
      </c>
      <c r="K128" s="13"/>
      <c r="L128" s="13">
        <v>300</v>
      </c>
      <c r="M128" s="13"/>
      <c r="N128" s="13">
        <v>300</v>
      </c>
      <c r="O128" s="13"/>
      <c r="P128" s="13">
        <v>300</v>
      </c>
      <c r="Q128" s="13"/>
      <c r="R128" s="13">
        <v>300</v>
      </c>
      <c r="S128" s="13"/>
      <c r="T128" s="13">
        <v>300</v>
      </c>
      <c r="U128" s="13"/>
      <c r="V128" s="13">
        <v>300</v>
      </c>
      <c r="W128" s="13"/>
      <c r="X128" s="13">
        <v>300</v>
      </c>
      <c r="Y128" s="13"/>
      <c r="Z128" s="13">
        <v>300</v>
      </c>
      <c r="AA128" s="13"/>
      <c r="AB128" s="13">
        <v>300</v>
      </c>
      <c r="AC128" s="13"/>
      <c r="AD128" s="13">
        <v>350</v>
      </c>
      <c r="AE128" s="13"/>
      <c r="AF128" s="13">
        <v>350</v>
      </c>
      <c r="AG128" s="13"/>
      <c r="AH128" s="13">
        <v>350</v>
      </c>
      <c r="AJ128">
        <v>300</v>
      </c>
      <c r="AL128">
        <v>300</v>
      </c>
      <c r="AM128" s="18"/>
      <c r="AO128" s="7">
        <v>1</v>
      </c>
    </row>
    <row r="129" spans="1:42" x14ac:dyDescent="0.3">
      <c r="A129" s="8" t="s">
        <v>771</v>
      </c>
      <c r="B129" s="11" t="s">
        <v>39</v>
      </c>
      <c r="C129" s="11"/>
      <c r="D129" s="10">
        <v>41</v>
      </c>
      <c r="E129" s="11" t="s">
        <v>772</v>
      </c>
      <c r="F129" s="11"/>
      <c r="G129" s="11"/>
      <c r="H129" s="25" t="s">
        <v>773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M129" s="18"/>
    </row>
    <row r="130" spans="1:42" x14ac:dyDescent="0.3">
      <c r="A130" s="8" t="s">
        <v>774</v>
      </c>
      <c r="B130" s="11" t="s">
        <v>178</v>
      </c>
      <c r="C130" s="9" t="s">
        <v>775</v>
      </c>
      <c r="D130" s="10">
        <v>41</v>
      </c>
      <c r="E130" s="11" t="s">
        <v>776</v>
      </c>
      <c r="F130" s="11"/>
      <c r="G130" s="11"/>
      <c r="H130" s="12"/>
      <c r="I130" s="13"/>
      <c r="J130" s="13"/>
      <c r="K130" s="13"/>
      <c r="L130" s="13"/>
      <c r="M130" s="13">
        <v>330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M130" s="18"/>
    </row>
    <row r="131" spans="1:42" x14ac:dyDescent="0.3">
      <c r="A131" s="8" t="s">
        <v>256</v>
      </c>
      <c r="B131" s="8" t="s">
        <v>94</v>
      </c>
      <c r="C131" s="9" t="s">
        <v>777</v>
      </c>
      <c r="D131" s="10">
        <v>42</v>
      </c>
      <c r="E131" s="11" t="s">
        <v>778</v>
      </c>
      <c r="F131" s="11" t="s">
        <v>779</v>
      </c>
      <c r="G131" s="11"/>
      <c r="H131" s="19"/>
      <c r="I131" s="13">
        <v>440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>
        <v>170</v>
      </c>
      <c r="AG131" s="13"/>
      <c r="AH131" s="13"/>
      <c r="AJ131">
        <v>170</v>
      </c>
      <c r="AM131" s="43"/>
      <c r="AN131" s="44"/>
    </row>
    <row r="132" spans="1:42" x14ac:dyDescent="0.3">
      <c r="A132" s="8" t="s">
        <v>780</v>
      </c>
      <c r="B132" s="8" t="s">
        <v>68</v>
      </c>
      <c r="C132" s="8"/>
      <c r="D132" s="10">
        <v>42</v>
      </c>
      <c r="E132" s="11"/>
      <c r="F132" s="11"/>
      <c r="G132" s="11"/>
      <c r="H132" s="12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M132" s="18"/>
    </row>
    <row r="133" spans="1:42" x14ac:dyDescent="0.3">
      <c r="A133" s="8" t="s">
        <v>781</v>
      </c>
      <c r="B133" s="11" t="s">
        <v>178</v>
      </c>
      <c r="C133" s="11"/>
      <c r="D133" s="10">
        <v>42</v>
      </c>
      <c r="E133" s="11" t="s">
        <v>782</v>
      </c>
      <c r="F133" s="11"/>
      <c r="G133" s="11"/>
      <c r="H133" s="12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M133" s="18"/>
    </row>
    <row r="134" spans="1:42" x14ac:dyDescent="0.3">
      <c r="A134" s="8" t="s">
        <v>783</v>
      </c>
      <c r="B134" s="8" t="s">
        <v>139</v>
      </c>
      <c r="C134" s="8"/>
      <c r="D134" s="10">
        <v>42</v>
      </c>
      <c r="E134" s="11" t="s">
        <v>784</v>
      </c>
      <c r="F134" s="11"/>
      <c r="G134" s="11"/>
      <c r="H134" s="19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M134" s="18"/>
    </row>
    <row r="135" spans="1:42" x14ac:dyDescent="0.3">
      <c r="A135" s="8" t="s">
        <v>785</v>
      </c>
      <c r="B135" s="8" t="s">
        <v>145</v>
      </c>
      <c r="C135" s="8" t="s">
        <v>506</v>
      </c>
      <c r="D135" s="10">
        <v>42</v>
      </c>
      <c r="E135" s="11" t="s">
        <v>786</v>
      </c>
      <c r="F135" s="11" t="s">
        <v>787</v>
      </c>
      <c r="G135" s="11"/>
      <c r="H135" s="12"/>
      <c r="I135" s="13"/>
      <c r="J135" s="13">
        <v>200</v>
      </c>
      <c r="K135" s="13"/>
      <c r="L135" s="13">
        <v>200</v>
      </c>
      <c r="M135" s="13"/>
      <c r="N135" s="13">
        <v>200</v>
      </c>
      <c r="O135" s="13"/>
      <c r="P135" s="13">
        <v>200</v>
      </c>
      <c r="Q135" s="13"/>
      <c r="R135" s="13">
        <v>200</v>
      </c>
      <c r="S135" s="13"/>
      <c r="T135" s="13">
        <v>200</v>
      </c>
      <c r="U135" s="13"/>
      <c r="V135" s="13">
        <v>200</v>
      </c>
      <c r="W135" s="13"/>
      <c r="X135" s="13">
        <v>200</v>
      </c>
      <c r="Y135" s="13"/>
      <c r="Z135" s="13">
        <v>200</v>
      </c>
      <c r="AA135" s="13"/>
      <c r="AB135" s="13">
        <v>200</v>
      </c>
      <c r="AC135" s="13"/>
      <c r="AD135" s="13">
        <v>200</v>
      </c>
      <c r="AE135" s="13"/>
      <c r="AF135" s="13">
        <v>200</v>
      </c>
      <c r="AG135" s="13"/>
      <c r="AH135" s="13">
        <v>200</v>
      </c>
      <c r="AM135" s="18"/>
      <c r="AO135" s="7">
        <v>1</v>
      </c>
    </row>
    <row r="136" spans="1:42" x14ac:dyDescent="0.3">
      <c r="A136" s="8" t="s">
        <v>788</v>
      </c>
      <c r="B136" s="8" t="s">
        <v>145</v>
      </c>
      <c r="C136" s="8"/>
      <c r="D136" s="10">
        <v>42</v>
      </c>
      <c r="E136" s="11" t="s">
        <v>789</v>
      </c>
      <c r="F136" s="11"/>
      <c r="G136" s="11"/>
      <c r="H136" s="12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M136" s="18"/>
    </row>
    <row r="137" spans="1:42" x14ac:dyDescent="0.3">
      <c r="A137" s="8" t="s">
        <v>790</v>
      </c>
      <c r="B137" s="8" t="s">
        <v>145</v>
      </c>
      <c r="C137" s="8"/>
      <c r="D137" s="10">
        <v>42</v>
      </c>
      <c r="E137" s="11" t="s">
        <v>791</v>
      </c>
      <c r="F137" s="11"/>
      <c r="G137" s="11"/>
      <c r="H137" s="12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M137" s="18"/>
    </row>
    <row r="138" spans="1:42" x14ac:dyDescent="0.3">
      <c r="A138" s="15" t="s">
        <v>144</v>
      </c>
      <c r="B138" s="8" t="s">
        <v>145</v>
      </c>
      <c r="C138" s="45" t="s">
        <v>143</v>
      </c>
      <c r="D138" s="10">
        <v>42</v>
      </c>
      <c r="E138" s="11" t="s">
        <v>787</v>
      </c>
      <c r="F138" s="11"/>
      <c r="G138" s="11"/>
      <c r="H138" s="26" t="s">
        <v>792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J138">
        <v>200</v>
      </c>
      <c r="AL138">
        <v>200</v>
      </c>
      <c r="AM138" s="18"/>
    </row>
    <row r="139" spans="1:42" x14ac:dyDescent="0.3">
      <c r="A139" s="8" t="s">
        <v>793</v>
      </c>
      <c r="B139" s="8" t="s">
        <v>94</v>
      </c>
      <c r="C139" s="8"/>
      <c r="D139" s="10">
        <v>43</v>
      </c>
      <c r="E139" s="11" t="s">
        <v>794</v>
      </c>
      <c r="F139" s="11"/>
      <c r="G139" s="11"/>
      <c r="H139" s="12"/>
      <c r="I139" s="13">
        <v>330</v>
      </c>
      <c r="J139" s="13"/>
      <c r="K139" s="13">
        <v>330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M139" s="18"/>
    </row>
    <row r="140" spans="1:42" x14ac:dyDescent="0.3">
      <c r="A140" s="8" t="s">
        <v>184</v>
      </c>
      <c r="B140" s="11" t="s">
        <v>39</v>
      </c>
      <c r="C140" s="11" t="s">
        <v>795</v>
      </c>
      <c r="D140" s="10">
        <v>43</v>
      </c>
      <c r="E140" s="11" t="s">
        <v>796</v>
      </c>
      <c r="F140" s="11"/>
      <c r="G140" s="11"/>
      <c r="H140" s="25" t="s">
        <v>797</v>
      </c>
      <c r="I140" s="13">
        <v>350</v>
      </c>
      <c r="J140" s="13"/>
      <c r="K140" s="13">
        <v>350</v>
      </c>
      <c r="L140" s="13"/>
      <c r="M140" s="13">
        <v>350</v>
      </c>
      <c r="N140" s="13"/>
      <c r="O140" s="13">
        <v>350</v>
      </c>
      <c r="P140" s="13"/>
      <c r="Q140" s="13">
        <v>350</v>
      </c>
      <c r="R140" s="13"/>
      <c r="S140" s="13">
        <v>350</v>
      </c>
      <c r="T140" s="13"/>
      <c r="U140" s="13">
        <v>350</v>
      </c>
      <c r="V140" s="13"/>
      <c r="W140" s="13">
        <v>350</v>
      </c>
      <c r="X140" s="13"/>
      <c r="Y140" s="13">
        <v>350</v>
      </c>
      <c r="Z140" s="13"/>
      <c r="AA140" s="13">
        <v>350</v>
      </c>
      <c r="AB140" s="13"/>
      <c r="AC140" s="13">
        <v>350</v>
      </c>
      <c r="AD140" s="13"/>
      <c r="AE140" s="13">
        <v>350</v>
      </c>
      <c r="AF140" s="13"/>
      <c r="AG140" s="13">
        <v>350</v>
      </c>
      <c r="AH140" s="13">
        <v>500</v>
      </c>
      <c r="AI140">
        <v>350</v>
      </c>
      <c r="AK140">
        <v>350</v>
      </c>
      <c r="AM140" s="18" t="s">
        <v>500</v>
      </c>
      <c r="AO140" s="7">
        <v>1</v>
      </c>
      <c r="AP140" s="27">
        <v>500</v>
      </c>
    </row>
    <row r="141" spans="1:42" x14ac:dyDescent="0.3">
      <c r="A141" s="8" t="s">
        <v>798</v>
      </c>
      <c r="B141" s="11" t="s">
        <v>39</v>
      </c>
      <c r="C141" s="11"/>
      <c r="D141" s="10">
        <v>43</v>
      </c>
      <c r="E141" s="11" t="s">
        <v>799</v>
      </c>
      <c r="F141" s="11"/>
      <c r="G141" s="11"/>
      <c r="H141" s="25" t="s">
        <v>800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M141" s="18"/>
    </row>
    <row r="142" spans="1:42" x14ac:dyDescent="0.3">
      <c r="A142" s="8" t="s">
        <v>801</v>
      </c>
      <c r="B142" s="8" t="s">
        <v>29</v>
      </c>
      <c r="C142" s="9" t="s">
        <v>802</v>
      </c>
      <c r="D142" s="10">
        <v>44</v>
      </c>
      <c r="E142" s="11" t="s">
        <v>803</v>
      </c>
      <c r="F142" s="11" t="s">
        <v>804</v>
      </c>
      <c r="G142" s="11"/>
      <c r="H142" s="12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M142" s="18"/>
    </row>
    <row r="143" spans="1:42" x14ac:dyDescent="0.3">
      <c r="A143" s="8" t="s">
        <v>805</v>
      </c>
      <c r="B143" s="8" t="s">
        <v>145</v>
      </c>
      <c r="C143" s="8"/>
      <c r="D143" s="10">
        <v>44</v>
      </c>
      <c r="E143" s="11" t="s">
        <v>806</v>
      </c>
      <c r="F143" s="11" t="s">
        <v>807</v>
      </c>
      <c r="G143" s="11"/>
      <c r="H143" s="25" t="s">
        <v>808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M143" s="18"/>
    </row>
    <row r="144" spans="1:42" x14ac:dyDescent="0.3">
      <c r="A144" s="8" t="s">
        <v>162</v>
      </c>
      <c r="B144" s="8" t="s">
        <v>94</v>
      </c>
      <c r="C144" s="8"/>
      <c r="D144" s="10">
        <v>45</v>
      </c>
      <c r="E144" s="11" t="s">
        <v>809</v>
      </c>
      <c r="F144" s="11"/>
      <c r="G144" s="11"/>
      <c r="H144" s="25" t="s">
        <v>810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13">
        <v>400</v>
      </c>
      <c r="AM144" s="18" t="s">
        <v>500</v>
      </c>
      <c r="AO144" s="7">
        <v>1</v>
      </c>
      <c r="AP144" s="27">
        <v>400</v>
      </c>
    </row>
    <row r="145" spans="1:42" x14ac:dyDescent="0.3">
      <c r="A145" s="8" t="s">
        <v>811</v>
      </c>
      <c r="B145" s="11" t="s">
        <v>178</v>
      </c>
      <c r="C145" s="11"/>
      <c r="D145" s="10">
        <v>45</v>
      </c>
      <c r="E145" s="11" t="s">
        <v>812</v>
      </c>
      <c r="F145" s="11"/>
      <c r="G145" s="11"/>
      <c r="H145" s="12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M145" s="18"/>
    </row>
    <row r="146" spans="1:42" x14ac:dyDescent="0.3">
      <c r="A146" s="8" t="s">
        <v>197</v>
      </c>
      <c r="B146" s="8" t="s">
        <v>68</v>
      </c>
      <c r="C146" s="9" t="s">
        <v>813</v>
      </c>
      <c r="D146" s="10">
        <v>46</v>
      </c>
      <c r="E146" s="11" t="s">
        <v>814</v>
      </c>
      <c r="F146" s="11"/>
      <c r="G146" s="11"/>
      <c r="H146" s="19"/>
      <c r="I146" s="13">
        <v>350</v>
      </c>
      <c r="J146" s="13"/>
      <c r="K146" s="13">
        <v>350</v>
      </c>
      <c r="L146" s="13"/>
      <c r="M146" s="13">
        <v>350</v>
      </c>
      <c r="N146" s="13"/>
      <c r="O146" s="13">
        <v>350</v>
      </c>
      <c r="P146" s="13"/>
      <c r="Q146" s="13">
        <v>350</v>
      </c>
      <c r="R146" s="13"/>
      <c r="S146" s="13">
        <v>350</v>
      </c>
      <c r="T146" s="13"/>
      <c r="U146" s="13">
        <v>350</v>
      </c>
      <c r="V146" s="13"/>
      <c r="W146" s="13">
        <v>350</v>
      </c>
      <c r="X146" s="13"/>
      <c r="Y146" s="13">
        <v>350</v>
      </c>
      <c r="Z146" s="13"/>
      <c r="AA146" s="13">
        <v>350</v>
      </c>
      <c r="AB146" s="13"/>
      <c r="AC146" s="13">
        <v>350</v>
      </c>
      <c r="AD146" s="13"/>
      <c r="AE146" s="13">
        <v>350</v>
      </c>
      <c r="AF146" s="13"/>
      <c r="AG146" s="13">
        <v>350</v>
      </c>
      <c r="AH146" s="13">
        <v>500</v>
      </c>
      <c r="AI146">
        <v>350</v>
      </c>
      <c r="AK146">
        <v>350</v>
      </c>
      <c r="AM146" s="14" t="s">
        <v>500</v>
      </c>
      <c r="AO146" s="7">
        <v>1</v>
      </c>
      <c r="AP146" s="27">
        <v>500</v>
      </c>
    </row>
    <row r="147" spans="1:42" x14ac:dyDescent="0.3">
      <c r="A147" s="8" t="s">
        <v>815</v>
      </c>
      <c r="B147" s="8" t="s">
        <v>68</v>
      </c>
      <c r="C147" s="9"/>
      <c r="D147" s="10">
        <v>46</v>
      </c>
      <c r="E147" s="11" t="s">
        <v>816</v>
      </c>
      <c r="F147" s="11"/>
      <c r="G147" s="11"/>
      <c r="H147" s="19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M147" s="14"/>
    </row>
    <row r="148" spans="1:42" x14ac:dyDescent="0.3">
      <c r="A148" s="8" t="s">
        <v>817</v>
      </c>
      <c r="B148" s="8" t="s">
        <v>68</v>
      </c>
      <c r="C148" s="9"/>
      <c r="D148" s="10">
        <v>46</v>
      </c>
      <c r="E148" s="11" t="s">
        <v>818</v>
      </c>
      <c r="F148" s="11"/>
      <c r="G148" s="11"/>
      <c r="H148" s="25" t="s">
        <v>819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M148" s="14"/>
    </row>
    <row r="149" spans="1:42" x14ac:dyDescent="0.3">
      <c r="A149" s="8" t="s">
        <v>820</v>
      </c>
      <c r="B149" s="8" t="s">
        <v>68</v>
      </c>
      <c r="C149" s="9"/>
      <c r="D149" s="10">
        <v>46</v>
      </c>
      <c r="E149" s="11" t="s">
        <v>821</v>
      </c>
      <c r="F149" s="11" t="s">
        <v>822</v>
      </c>
      <c r="G149" s="11"/>
      <c r="H149" s="25" t="s">
        <v>819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M149" s="14"/>
    </row>
    <row r="150" spans="1:42" x14ac:dyDescent="0.3">
      <c r="A150" s="8" t="s">
        <v>823</v>
      </c>
      <c r="B150" s="8" t="s">
        <v>68</v>
      </c>
      <c r="C150" s="9"/>
      <c r="D150" s="10">
        <v>46</v>
      </c>
      <c r="E150" s="11" t="s">
        <v>824</v>
      </c>
      <c r="F150" s="11"/>
      <c r="G150" s="11"/>
      <c r="H150" s="25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M150" s="14"/>
    </row>
    <row r="151" spans="1:42" x14ac:dyDescent="0.3">
      <c r="A151" s="8" t="s">
        <v>825</v>
      </c>
      <c r="B151" s="8" t="s">
        <v>29</v>
      </c>
      <c r="C151" s="8"/>
      <c r="D151" s="10">
        <v>46</v>
      </c>
      <c r="E151" s="11" t="s">
        <v>826</v>
      </c>
      <c r="F151" s="11"/>
      <c r="G151" s="11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M151" s="18"/>
    </row>
    <row r="152" spans="1:42" x14ac:dyDescent="0.3">
      <c r="A152" s="8" t="s">
        <v>827</v>
      </c>
      <c r="B152" s="8" t="s">
        <v>29</v>
      </c>
      <c r="C152" s="8"/>
      <c r="D152" s="10">
        <v>46</v>
      </c>
      <c r="E152" s="11" t="s">
        <v>828</v>
      </c>
      <c r="F152" s="11"/>
      <c r="G152" s="11"/>
      <c r="H152" s="19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M152" s="18"/>
    </row>
    <row r="153" spans="1:42" x14ac:dyDescent="0.3">
      <c r="A153" s="8" t="s">
        <v>829</v>
      </c>
      <c r="B153" s="8" t="s">
        <v>29</v>
      </c>
      <c r="C153" s="8"/>
      <c r="D153" s="10">
        <v>46</v>
      </c>
      <c r="E153" s="11" t="s">
        <v>830</v>
      </c>
      <c r="F153" s="11"/>
      <c r="G153" s="11"/>
      <c r="H153" s="19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M153" s="18"/>
    </row>
    <row r="154" spans="1:42" x14ac:dyDescent="0.3">
      <c r="A154" s="8" t="s">
        <v>831</v>
      </c>
      <c r="B154" s="8" t="s">
        <v>145</v>
      </c>
      <c r="C154" s="8"/>
      <c r="D154" s="10">
        <v>46</v>
      </c>
      <c r="E154" s="11" t="s">
        <v>832</v>
      </c>
      <c r="F154" s="11"/>
      <c r="G154" s="11"/>
      <c r="H154" s="25" t="s">
        <v>833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M154" s="18"/>
    </row>
    <row r="155" spans="1:42" x14ac:dyDescent="0.3">
      <c r="A155" s="8" t="s">
        <v>834</v>
      </c>
      <c r="B155" s="8" t="s">
        <v>94</v>
      </c>
      <c r="C155" s="9" t="s">
        <v>835</v>
      </c>
      <c r="D155" s="10">
        <v>47</v>
      </c>
      <c r="E155" s="11"/>
      <c r="F155" s="11"/>
      <c r="G155" s="11"/>
      <c r="H155" s="19"/>
      <c r="I155" s="13">
        <v>363</v>
      </c>
      <c r="J155" s="13"/>
      <c r="K155" s="13">
        <v>363</v>
      </c>
      <c r="L155" s="13"/>
      <c r="M155" s="13">
        <v>363</v>
      </c>
      <c r="N155" s="13"/>
      <c r="O155" s="13">
        <v>363</v>
      </c>
      <c r="P155" s="13"/>
      <c r="Q155" s="13">
        <v>363</v>
      </c>
      <c r="R155" s="13"/>
      <c r="S155" s="13">
        <v>363</v>
      </c>
      <c r="T155" s="13"/>
      <c r="U155" s="13">
        <v>363</v>
      </c>
      <c r="V155" s="13"/>
      <c r="W155" s="13">
        <v>363</v>
      </c>
      <c r="X155" s="13"/>
      <c r="Y155" s="13">
        <v>363</v>
      </c>
      <c r="Z155" s="13"/>
      <c r="AA155" s="13">
        <v>363</v>
      </c>
      <c r="AB155" s="13"/>
      <c r="AC155" s="13">
        <v>363</v>
      </c>
      <c r="AD155" s="13"/>
      <c r="AE155" s="13">
        <v>363</v>
      </c>
      <c r="AF155" s="13"/>
      <c r="AG155" s="13">
        <v>363</v>
      </c>
      <c r="AH155" s="13"/>
      <c r="AI155">
        <v>363</v>
      </c>
      <c r="AK155">
        <v>363</v>
      </c>
      <c r="AM155" s="18"/>
      <c r="AO155" s="7">
        <v>1</v>
      </c>
    </row>
    <row r="156" spans="1:42" x14ac:dyDescent="0.3">
      <c r="A156" s="8" t="s">
        <v>836</v>
      </c>
      <c r="B156" s="8" t="s">
        <v>94</v>
      </c>
      <c r="C156" s="9"/>
      <c r="D156" s="10">
        <v>47</v>
      </c>
      <c r="E156" s="11" t="s">
        <v>837</v>
      </c>
      <c r="F156" s="11"/>
      <c r="G156" s="11"/>
      <c r="H156" s="19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M156" s="18"/>
    </row>
    <row r="157" spans="1:42" x14ac:dyDescent="0.3">
      <c r="A157" s="8" t="s">
        <v>838</v>
      </c>
      <c r="B157" s="8" t="s">
        <v>68</v>
      </c>
      <c r="C157" s="9"/>
      <c r="D157" s="10">
        <v>47</v>
      </c>
      <c r="E157" s="11" t="s">
        <v>839</v>
      </c>
      <c r="F157" s="11"/>
      <c r="G157" s="11"/>
      <c r="H157" s="25" t="s">
        <v>840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M157" s="14"/>
    </row>
    <row r="158" spans="1:42" x14ac:dyDescent="0.3">
      <c r="A158" s="8" t="s">
        <v>841</v>
      </c>
      <c r="B158" s="8" t="s">
        <v>68</v>
      </c>
      <c r="C158" s="9"/>
      <c r="D158" s="10">
        <v>47</v>
      </c>
      <c r="E158" s="11" t="s">
        <v>842</v>
      </c>
      <c r="F158" s="11"/>
      <c r="G158" s="11"/>
      <c r="H158" s="25" t="s">
        <v>843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M158" s="14"/>
    </row>
    <row r="159" spans="1:42" x14ac:dyDescent="0.3">
      <c r="A159" s="8" t="s">
        <v>844</v>
      </c>
      <c r="B159" s="8" t="s">
        <v>68</v>
      </c>
      <c r="C159" s="9"/>
      <c r="D159" s="10">
        <v>47</v>
      </c>
      <c r="E159" s="11" t="s">
        <v>845</v>
      </c>
      <c r="F159" s="11"/>
      <c r="G159" s="11"/>
      <c r="H159" s="25" t="s">
        <v>846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M159" s="14"/>
    </row>
    <row r="160" spans="1:42" x14ac:dyDescent="0.3">
      <c r="A160" s="8" t="s">
        <v>847</v>
      </c>
      <c r="B160" s="8" t="s">
        <v>68</v>
      </c>
      <c r="C160" s="9"/>
      <c r="D160" s="10">
        <v>47</v>
      </c>
      <c r="E160" s="11" t="s">
        <v>848</v>
      </c>
      <c r="F160" s="11"/>
      <c r="G160" s="11"/>
      <c r="H160" s="25" t="s">
        <v>849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M160" s="14"/>
    </row>
    <row r="161" spans="1:41" x14ac:dyDescent="0.3">
      <c r="A161" s="8" t="s">
        <v>850</v>
      </c>
      <c r="B161" s="8" t="s">
        <v>68</v>
      </c>
      <c r="C161" s="9"/>
      <c r="D161" s="10">
        <v>47</v>
      </c>
      <c r="E161" s="11" t="s">
        <v>851</v>
      </c>
      <c r="F161" s="11"/>
      <c r="G161" s="11"/>
      <c r="H161" s="25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M161" s="14"/>
    </row>
    <row r="162" spans="1:41" x14ac:dyDescent="0.3">
      <c r="A162" s="8" t="s">
        <v>852</v>
      </c>
      <c r="B162" s="8" t="s">
        <v>68</v>
      </c>
      <c r="C162" s="9"/>
      <c r="D162" s="10">
        <v>47</v>
      </c>
      <c r="E162" s="11" t="s">
        <v>853</v>
      </c>
      <c r="F162" s="11"/>
      <c r="G162" s="11"/>
      <c r="H162" s="25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M162" s="14"/>
    </row>
    <row r="163" spans="1:41" x14ac:dyDescent="0.3">
      <c r="A163" s="8" t="s">
        <v>854</v>
      </c>
      <c r="B163" s="11" t="s">
        <v>25</v>
      </c>
      <c r="C163" s="11"/>
      <c r="D163" s="10">
        <v>48</v>
      </c>
      <c r="E163" s="11" t="s">
        <v>855</v>
      </c>
      <c r="F163" s="11"/>
      <c r="G163" s="11"/>
      <c r="H163" s="25" t="s">
        <v>856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M163" s="18"/>
    </row>
    <row r="164" spans="1:41" x14ac:dyDescent="0.3">
      <c r="A164" s="8" t="s">
        <v>857</v>
      </c>
      <c r="B164" s="11" t="s">
        <v>25</v>
      </c>
      <c r="C164" s="11"/>
      <c r="D164" s="10">
        <v>48</v>
      </c>
      <c r="E164" s="11" t="s">
        <v>858</v>
      </c>
      <c r="F164" s="11"/>
      <c r="G164" s="11"/>
      <c r="H164" s="25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M164" s="18"/>
    </row>
    <row r="165" spans="1:41" x14ac:dyDescent="0.3">
      <c r="A165" s="8" t="s">
        <v>859</v>
      </c>
      <c r="B165" s="11" t="s">
        <v>178</v>
      </c>
      <c r="C165" s="11"/>
      <c r="D165" s="10">
        <v>48</v>
      </c>
      <c r="E165" s="11" t="s">
        <v>860</v>
      </c>
      <c r="F165" s="11"/>
      <c r="G165" s="11"/>
      <c r="H165" s="19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M165" s="18"/>
    </row>
    <row r="166" spans="1:41" x14ac:dyDescent="0.3">
      <c r="A166" s="8" t="s">
        <v>861</v>
      </c>
      <c r="B166" s="11" t="s">
        <v>178</v>
      </c>
      <c r="C166" s="11"/>
      <c r="D166" s="10">
        <v>48</v>
      </c>
      <c r="E166" s="11" t="s">
        <v>862</v>
      </c>
      <c r="F166" s="11"/>
      <c r="G166" s="11"/>
      <c r="H166" s="12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M166" s="18"/>
    </row>
    <row r="167" spans="1:41" x14ac:dyDescent="0.3">
      <c r="A167" s="8" t="s">
        <v>863</v>
      </c>
      <c r="B167" s="11" t="s">
        <v>178</v>
      </c>
      <c r="C167" s="11"/>
      <c r="D167" s="10">
        <v>48</v>
      </c>
      <c r="E167" s="11" t="s">
        <v>864</v>
      </c>
      <c r="F167" s="11"/>
      <c r="G167" s="11"/>
      <c r="H167" s="26" t="s">
        <v>865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M167" s="18"/>
    </row>
    <row r="168" spans="1:41" x14ac:dyDescent="0.3">
      <c r="A168" s="8" t="s">
        <v>866</v>
      </c>
      <c r="B168" s="8" t="s">
        <v>29</v>
      </c>
      <c r="C168" s="8"/>
      <c r="D168" s="10">
        <v>48</v>
      </c>
      <c r="E168" s="11" t="s">
        <v>867</v>
      </c>
      <c r="F168" s="11"/>
      <c r="G168" s="11"/>
      <c r="H168" s="25"/>
      <c r="I168" s="13"/>
      <c r="J168" s="13">
        <v>200</v>
      </c>
      <c r="K168" s="13"/>
      <c r="L168" s="13">
        <v>200</v>
      </c>
      <c r="M168" s="13"/>
      <c r="N168" s="13">
        <v>200</v>
      </c>
      <c r="O168" s="13"/>
      <c r="P168" s="13">
        <v>200</v>
      </c>
      <c r="Q168" s="13"/>
      <c r="R168" s="13">
        <v>200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M168" s="18"/>
    </row>
    <row r="169" spans="1:41" x14ac:dyDescent="0.3">
      <c r="A169" s="8" t="s">
        <v>868</v>
      </c>
      <c r="B169" s="8" t="s">
        <v>145</v>
      </c>
      <c r="C169" s="8"/>
      <c r="D169" s="10">
        <v>48</v>
      </c>
      <c r="E169" s="11"/>
      <c r="F169" s="11"/>
      <c r="G169" s="11"/>
      <c r="H169" s="19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M169" s="18"/>
    </row>
    <row r="170" spans="1:41" x14ac:dyDescent="0.3">
      <c r="A170" s="8" t="s">
        <v>869</v>
      </c>
      <c r="B170" s="8" t="s">
        <v>94</v>
      </c>
      <c r="C170" s="8"/>
      <c r="D170" s="10">
        <v>49</v>
      </c>
      <c r="E170" s="11" t="s">
        <v>870</v>
      </c>
      <c r="F170" s="11"/>
      <c r="G170" s="11"/>
      <c r="H170" s="19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M170" s="18"/>
    </row>
    <row r="171" spans="1:41" x14ac:dyDescent="0.3">
      <c r="A171" s="8" t="s">
        <v>871</v>
      </c>
      <c r="B171" s="11" t="s">
        <v>39</v>
      </c>
      <c r="C171" s="11" t="s">
        <v>872</v>
      </c>
      <c r="D171" s="10">
        <v>49</v>
      </c>
      <c r="E171" s="11"/>
      <c r="F171" s="11"/>
      <c r="G171" s="11"/>
      <c r="H171" s="12"/>
      <c r="I171" s="13">
        <v>350</v>
      </c>
      <c r="J171" s="13"/>
      <c r="K171" s="13">
        <v>350</v>
      </c>
      <c r="L171" s="13"/>
      <c r="M171" s="13">
        <v>350</v>
      </c>
      <c r="N171" s="13"/>
      <c r="O171" s="13">
        <v>350</v>
      </c>
      <c r="P171" s="13"/>
      <c r="Q171" s="13">
        <v>350</v>
      </c>
      <c r="R171" s="13"/>
      <c r="S171" s="13">
        <v>350</v>
      </c>
      <c r="T171" s="13"/>
      <c r="U171" s="13">
        <v>350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M171" s="18"/>
    </row>
    <row r="172" spans="1:41" x14ac:dyDescent="0.3">
      <c r="A172" s="8" t="s">
        <v>873</v>
      </c>
      <c r="B172" s="11" t="s">
        <v>39</v>
      </c>
      <c r="C172" s="11" t="s">
        <v>874</v>
      </c>
      <c r="D172" s="10">
        <v>49</v>
      </c>
      <c r="E172" s="11" t="s">
        <v>875</v>
      </c>
      <c r="F172" s="11"/>
      <c r="G172" s="11"/>
      <c r="H172" s="25" t="s">
        <v>876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>
        <v>350</v>
      </c>
      <c r="AF172" s="13"/>
      <c r="AG172" s="13">
        <v>350</v>
      </c>
      <c r="AH172" s="13"/>
      <c r="AI172">
        <v>350</v>
      </c>
      <c r="AK172">
        <v>350</v>
      </c>
      <c r="AM172" s="18"/>
      <c r="AO172" s="7">
        <v>1</v>
      </c>
    </row>
    <row r="173" spans="1:41" x14ac:dyDescent="0.3">
      <c r="A173" s="8" t="s">
        <v>877</v>
      </c>
      <c r="B173" s="11" t="s">
        <v>25</v>
      </c>
      <c r="C173" s="11"/>
      <c r="D173" s="10">
        <v>49</v>
      </c>
      <c r="E173" s="11" t="s">
        <v>878</v>
      </c>
      <c r="F173" s="11"/>
      <c r="G173" s="11"/>
      <c r="H173" s="25" t="s">
        <v>879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M173" s="18"/>
    </row>
    <row r="174" spans="1:41" x14ac:dyDescent="0.3">
      <c r="A174" s="8" t="s">
        <v>880</v>
      </c>
      <c r="B174" s="8" t="s">
        <v>25</v>
      </c>
      <c r="C174" s="8"/>
      <c r="D174" s="10">
        <v>49</v>
      </c>
      <c r="E174" s="28"/>
      <c r="F174" s="28"/>
      <c r="G174" s="28"/>
      <c r="H174" s="19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M174" s="18"/>
    </row>
    <row r="175" spans="1:41" x14ac:dyDescent="0.3">
      <c r="A175" s="8" t="s">
        <v>881</v>
      </c>
      <c r="B175" s="8" t="s">
        <v>145</v>
      </c>
      <c r="C175" s="8"/>
      <c r="D175" s="10">
        <v>49</v>
      </c>
      <c r="E175" s="11" t="s">
        <v>882</v>
      </c>
      <c r="F175" s="11"/>
      <c r="G175" s="11"/>
      <c r="H175" s="19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M175" s="18"/>
    </row>
    <row r="176" spans="1:41" x14ac:dyDescent="0.3">
      <c r="A176" s="8" t="s">
        <v>883</v>
      </c>
      <c r="B176" s="8" t="s">
        <v>249</v>
      </c>
      <c r="C176" s="8"/>
      <c r="D176" s="10">
        <v>50</v>
      </c>
      <c r="E176" s="11" t="s">
        <v>884</v>
      </c>
      <c r="F176" s="11"/>
      <c r="G176" s="11"/>
      <c r="H176" s="12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M176" s="18"/>
    </row>
    <row r="177" spans="1:41" x14ac:dyDescent="0.3">
      <c r="A177" s="11" t="s">
        <v>885</v>
      </c>
      <c r="B177" s="8" t="s">
        <v>25</v>
      </c>
      <c r="C177" s="8"/>
      <c r="D177" s="10">
        <v>50</v>
      </c>
      <c r="E177" s="11" t="s">
        <v>886</v>
      </c>
      <c r="F177" s="11"/>
      <c r="G177" s="11"/>
      <c r="H177" s="19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M177" s="18"/>
    </row>
    <row r="178" spans="1:41" x14ac:dyDescent="0.3">
      <c r="A178" s="8" t="s">
        <v>887</v>
      </c>
      <c r="B178" s="8" t="s">
        <v>29</v>
      </c>
      <c r="C178" s="8" t="s">
        <v>493</v>
      </c>
      <c r="D178" s="10">
        <v>50</v>
      </c>
      <c r="E178" s="11" t="s">
        <v>888</v>
      </c>
      <c r="F178" s="11" t="s">
        <v>889</v>
      </c>
      <c r="G178" s="11" t="s">
        <v>890</v>
      </c>
      <c r="H178" s="25" t="s">
        <v>891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13">
        <v>2040</v>
      </c>
      <c r="AG178" s="13"/>
      <c r="AH178" s="13"/>
      <c r="AM178" s="18" t="s">
        <v>892</v>
      </c>
      <c r="AO178" s="7">
        <v>1</v>
      </c>
    </row>
    <row r="179" spans="1:41" x14ac:dyDescent="0.3">
      <c r="A179" s="8" t="s">
        <v>893</v>
      </c>
      <c r="B179" s="8" t="s">
        <v>145</v>
      </c>
      <c r="C179" s="8"/>
      <c r="D179" s="10">
        <v>50</v>
      </c>
      <c r="E179" s="11" t="s">
        <v>894</v>
      </c>
      <c r="F179" s="11" t="s">
        <v>895</v>
      </c>
      <c r="G179" s="11"/>
      <c r="H179" s="25" t="s">
        <v>896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M179" s="18"/>
    </row>
    <row r="180" spans="1:41" x14ac:dyDescent="0.3">
      <c r="A180" s="8" t="s">
        <v>897</v>
      </c>
      <c r="B180" s="8" t="s">
        <v>145</v>
      </c>
      <c r="C180" s="8"/>
      <c r="D180" s="10">
        <v>50</v>
      </c>
      <c r="E180" s="11" t="s">
        <v>898</v>
      </c>
      <c r="F180" s="11"/>
      <c r="G180" s="11"/>
      <c r="H180" s="25" t="s">
        <v>896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M180" s="18"/>
    </row>
    <row r="181" spans="1:41" x14ac:dyDescent="0.3">
      <c r="A181" s="8" t="s">
        <v>899</v>
      </c>
      <c r="B181" s="8" t="s">
        <v>94</v>
      </c>
      <c r="C181" s="8"/>
      <c r="D181" s="10">
        <v>51</v>
      </c>
      <c r="E181" s="11" t="s">
        <v>900</v>
      </c>
      <c r="F181" s="11"/>
      <c r="G181" s="11"/>
      <c r="H181" s="16" t="s">
        <v>901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M181" s="18"/>
    </row>
    <row r="182" spans="1:41" x14ac:dyDescent="0.3">
      <c r="A182" s="8" t="s">
        <v>267</v>
      </c>
      <c r="B182" s="8" t="s">
        <v>94</v>
      </c>
      <c r="C182" s="8" t="s">
        <v>902</v>
      </c>
      <c r="D182" s="10">
        <v>51</v>
      </c>
      <c r="E182" s="11" t="s">
        <v>903</v>
      </c>
      <c r="F182" s="11"/>
      <c r="G182" s="11"/>
      <c r="H182" s="12"/>
      <c r="I182" s="13"/>
      <c r="J182" s="13"/>
      <c r="K182" s="13">
        <v>330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M182" s="18"/>
      <c r="AN182">
        <v>3500</v>
      </c>
    </row>
    <row r="183" spans="1:41" x14ac:dyDescent="0.3">
      <c r="A183" s="11" t="s">
        <v>904</v>
      </c>
      <c r="B183" s="11" t="s">
        <v>452</v>
      </c>
      <c r="C183" s="9" t="s">
        <v>905</v>
      </c>
      <c r="D183" s="10">
        <v>51</v>
      </c>
      <c r="E183" s="11" t="s">
        <v>906</v>
      </c>
      <c r="F183" s="11"/>
      <c r="G183" s="11"/>
      <c r="H183" s="19"/>
      <c r="I183" s="13">
        <v>350</v>
      </c>
      <c r="J183" s="13"/>
      <c r="K183" s="13">
        <v>350</v>
      </c>
      <c r="L183" s="13"/>
      <c r="M183" s="13">
        <v>350</v>
      </c>
      <c r="N183" s="13"/>
      <c r="O183" s="13">
        <v>350</v>
      </c>
      <c r="P183" s="13"/>
      <c r="Q183" s="13">
        <v>350</v>
      </c>
      <c r="R183" s="13"/>
      <c r="S183" s="13">
        <v>350</v>
      </c>
      <c r="T183" s="13"/>
      <c r="U183" s="13">
        <v>350</v>
      </c>
      <c r="V183" s="13"/>
      <c r="W183" s="13">
        <v>350</v>
      </c>
      <c r="X183" s="13"/>
      <c r="Y183" s="13">
        <v>350</v>
      </c>
      <c r="Z183" s="13"/>
      <c r="AA183" s="13">
        <v>350</v>
      </c>
      <c r="AB183" s="13"/>
      <c r="AC183" s="13">
        <v>350</v>
      </c>
      <c r="AD183" s="13"/>
      <c r="AE183" s="13">
        <v>350</v>
      </c>
      <c r="AF183" s="13"/>
      <c r="AG183" s="13">
        <v>350</v>
      </c>
      <c r="AH183" s="13"/>
      <c r="AI183">
        <v>350</v>
      </c>
      <c r="AK183">
        <v>350</v>
      </c>
      <c r="AM183" s="18"/>
      <c r="AO183" s="7">
        <v>1</v>
      </c>
    </row>
    <row r="184" spans="1:41" x14ac:dyDescent="0.3">
      <c r="A184" s="15" t="s">
        <v>907</v>
      </c>
      <c r="B184" s="11" t="s">
        <v>452</v>
      </c>
      <c r="C184" s="11"/>
      <c r="D184" s="10">
        <v>51</v>
      </c>
      <c r="E184" s="11" t="s">
        <v>908</v>
      </c>
      <c r="F184" s="11"/>
      <c r="G184" s="11"/>
      <c r="H184" s="12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M184" s="18"/>
    </row>
    <row r="185" spans="1:41" x14ac:dyDescent="0.3">
      <c r="A185" s="8" t="s">
        <v>909</v>
      </c>
      <c r="B185" s="11" t="s">
        <v>39</v>
      </c>
      <c r="C185" s="11"/>
      <c r="D185" s="10">
        <v>51</v>
      </c>
      <c r="E185" s="11"/>
      <c r="F185" s="11"/>
      <c r="G185" s="11"/>
      <c r="H185" s="12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M185" s="18"/>
    </row>
    <row r="186" spans="1:41" x14ac:dyDescent="0.3">
      <c r="A186" s="8" t="s">
        <v>910</v>
      </c>
      <c r="B186" s="11" t="s">
        <v>39</v>
      </c>
      <c r="C186" s="11"/>
      <c r="D186" s="10">
        <v>51</v>
      </c>
      <c r="E186" s="11" t="s">
        <v>911</v>
      </c>
      <c r="F186" s="11"/>
      <c r="G186" s="11"/>
      <c r="H186" s="12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M186" s="18"/>
    </row>
    <row r="187" spans="1:41" x14ac:dyDescent="0.3">
      <c r="A187" s="8" t="s">
        <v>912</v>
      </c>
      <c r="B187" s="11" t="s">
        <v>39</v>
      </c>
      <c r="C187" s="11"/>
      <c r="D187" s="10">
        <v>51</v>
      </c>
      <c r="E187" s="11" t="s">
        <v>913</v>
      </c>
      <c r="F187" s="11"/>
      <c r="G187" s="11"/>
      <c r="H187" s="12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M187" s="18"/>
    </row>
    <row r="188" spans="1:41" x14ac:dyDescent="0.3">
      <c r="A188" s="15" t="s">
        <v>907</v>
      </c>
      <c r="B188" s="8" t="s">
        <v>25</v>
      </c>
      <c r="C188" s="8"/>
      <c r="D188" s="10">
        <v>51</v>
      </c>
      <c r="E188" s="11" t="s">
        <v>908</v>
      </c>
      <c r="F188" s="11"/>
      <c r="G188" s="11"/>
      <c r="H188" s="12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M188" s="18"/>
    </row>
    <row r="189" spans="1:41" x14ac:dyDescent="0.3">
      <c r="A189" s="11" t="s">
        <v>914</v>
      </c>
      <c r="B189" s="8" t="s">
        <v>25</v>
      </c>
      <c r="C189" s="8"/>
      <c r="D189" s="10">
        <v>51</v>
      </c>
      <c r="E189" s="11" t="s">
        <v>915</v>
      </c>
      <c r="F189" s="11"/>
      <c r="G189" s="11"/>
      <c r="H189" s="19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M189" s="18"/>
    </row>
    <row r="190" spans="1:41" x14ac:dyDescent="0.3">
      <c r="A190" s="8" t="s">
        <v>916</v>
      </c>
      <c r="B190" s="11" t="s">
        <v>452</v>
      </c>
      <c r="C190" s="11"/>
      <c r="D190" s="10">
        <v>52</v>
      </c>
      <c r="E190" s="11" t="s">
        <v>917</v>
      </c>
      <c r="F190" s="11"/>
      <c r="G190" s="11"/>
      <c r="H190" s="25" t="s">
        <v>918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M190" s="18"/>
    </row>
    <row r="191" spans="1:41" x14ac:dyDescent="0.3">
      <c r="A191" s="8" t="s">
        <v>919</v>
      </c>
      <c r="B191" s="11" t="s">
        <v>452</v>
      </c>
      <c r="C191" s="11"/>
      <c r="D191" s="10">
        <v>52</v>
      </c>
      <c r="E191" s="11" t="s">
        <v>920</v>
      </c>
      <c r="F191" s="11"/>
      <c r="G191" s="11"/>
      <c r="H191" s="25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M191" s="18"/>
    </row>
    <row r="192" spans="1:41" x14ac:dyDescent="0.3">
      <c r="A192" s="8" t="s">
        <v>921</v>
      </c>
      <c r="B192" s="11" t="s">
        <v>132</v>
      </c>
      <c r="C192" s="11"/>
      <c r="D192" s="10">
        <v>52</v>
      </c>
      <c r="E192" s="11" t="s">
        <v>922</v>
      </c>
      <c r="F192" s="11"/>
      <c r="G192" s="11"/>
      <c r="H192" s="25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M192" s="18"/>
    </row>
    <row r="193" spans="1:41" x14ac:dyDescent="0.3">
      <c r="A193" s="8" t="s">
        <v>923</v>
      </c>
      <c r="B193" s="11" t="s">
        <v>132</v>
      </c>
      <c r="C193" s="11"/>
      <c r="D193" s="10">
        <v>52</v>
      </c>
      <c r="E193" s="11" t="s">
        <v>924</v>
      </c>
      <c r="F193" s="11"/>
      <c r="G193" s="11"/>
      <c r="H193" s="12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M193" s="18"/>
    </row>
    <row r="194" spans="1:41" x14ac:dyDescent="0.3">
      <c r="A194" s="8" t="s">
        <v>925</v>
      </c>
      <c r="B194" s="11" t="s">
        <v>132</v>
      </c>
      <c r="C194" s="11"/>
      <c r="D194" s="10">
        <v>52</v>
      </c>
      <c r="E194" s="11" t="s">
        <v>926</v>
      </c>
      <c r="F194" s="11"/>
      <c r="G194" s="11"/>
      <c r="H194" s="12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M194" s="18"/>
    </row>
    <row r="195" spans="1:41" x14ac:dyDescent="0.3">
      <c r="A195" s="8" t="s">
        <v>927</v>
      </c>
      <c r="B195" s="11" t="s">
        <v>132</v>
      </c>
      <c r="C195" s="11"/>
      <c r="D195" s="10">
        <v>52</v>
      </c>
      <c r="E195" s="11" t="s">
        <v>928</v>
      </c>
      <c r="F195" s="11"/>
      <c r="G195" s="11"/>
      <c r="H195" s="12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M195" s="18"/>
    </row>
    <row r="196" spans="1:41" x14ac:dyDescent="0.3">
      <c r="A196" s="8" t="s">
        <v>929</v>
      </c>
      <c r="B196" s="8" t="s">
        <v>29</v>
      </c>
      <c r="C196" s="8"/>
      <c r="D196" s="10">
        <v>52</v>
      </c>
      <c r="E196" s="11"/>
      <c r="F196" s="11"/>
      <c r="G196" s="11"/>
      <c r="H196" s="19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M196" s="18"/>
    </row>
    <row r="197" spans="1:41" x14ac:dyDescent="0.3">
      <c r="A197" s="8" t="s">
        <v>930</v>
      </c>
      <c r="B197" s="8" t="s">
        <v>94</v>
      </c>
      <c r="C197" s="9" t="s">
        <v>931</v>
      </c>
      <c r="D197" s="10">
        <v>53</v>
      </c>
      <c r="E197" s="11" t="s">
        <v>932</v>
      </c>
      <c r="F197" s="11"/>
      <c r="G197" s="11"/>
      <c r="H197" s="25" t="s">
        <v>933</v>
      </c>
      <c r="I197" s="13">
        <v>500</v>
      </c>
      <c r="J197" s="13"/>
      <c r="K197" s="13">
        <v>500</v>
      </c>
      <c r="L197" s="13"/>
      <c r="M197" s="13">
        <v>500</v>
      </c>
      <c r="N197" s="13"/>
      <c r="O197" s="13">
        <v>500</v>
      </c>
      <c r="P197" s="13"/>
      <c r="Q197" s="13">
        <v>500</v>
      </c>
      <c r="R197" s="13"/>
      <c r="S197" s="13">
        <v>500</v>
      </c>
      <c r="T197" s="13"/>
      <c r="U197" s="13">
        <v>500</v>
      </c>
      <c r="V197" s="13"/>
      <c r="W197" s="13">
        <v>500</v>
      </c>
      <c r="X197" s="13"/>
      <c r="Y197" s="13">
        <v>500</v>
      </c>
      <c r="Z197" s="13"/>
      <c r="AA197" s="13">
        <v>500</v>
      </c>
      <c r="AB197" s="13"/>
      <c r="AC197" s="13">
        <v>500</v>
      </c>
      <c r="AD197" s="13"/>
      <c r="AE197" s="13">
        <v>500</v>
      </c>
      <c r="AF197" s="13"/>
      <c r="AG197" s="13">
        <v>500</v>
      </c>
      <c r="AH197" s="13"/>
      <c r="AI197">
        <v>500</v>
      </c>
      <c r="AK197">
        <v>500</v>
      </c>
      <c r="AM197" s="18"/>
      <c r="AO197" s="7">
        <v>1</v>
      </c>
    </row>
    <row r="198" spans="1:41" x14ac:dyDescent="0.3">
      <c r="A198" s="8" t="s">
        <v>934</v>
      </c>
      <c r="B198" s="11" t="s">
        <v>132</v>
      </c>
      <c r="C198" s="11"/>
      <c r="D198" s="10">
        <v>53</v>
      </c>
      <c r="E198" s="11" t="s">
        <v>935</v>
      </c>
      <c r="F198" s="11"/>
      <c r="G198" s="11"/>
      <c r="H198" s="12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M198" s="18"/>
    </row>
    <row r="199" spans="1:41" x14ac:dyDescent="0.3">
      <c r="A199" s="8" t="s">
        <v>936</v>
      </c>
      <c r="B199" s="11" t="s">
        <v>132</v>
      </c>
      <c r="C199" s="11" t="s">
        <v>937</v>
      </c>
      <c r="D199" s="10">
        <v>53</v>
      </c>
      <c r="E199" s="11" t="s">
        <v>938</v>
      </c>
      <c r="F199" s="11"/>
      <c r="G199" s="11"/>
      <c r="H199" s="25" t="s">
        <v>939</v>
      </c>
      <c r="I199" s="13">
        <v>350</v>
      </c>
      <c r="J199" s="13"/>
      <c r="K199" s="13">
        <v>350</v>
      </c>
      <c r="L199" s="13"/>
      <c r="M199" s="13">
        <v>350</v>
      </c>
      <c r="N199" s="13"/>
      <c r="O199" s="13">
        <v>350</v>
      </c>
      <c r="P199" s="13"/>
      <c r="Q199" s="13">
        <v>350</v>
      </c>
      <c r="R199" s="13"/>
      <c r="S199" s="13">
        <v>350</v>
      </c>
      <c r="T199" s="13"/>
      <c r="U199" s="13">
        <v>350</v>
      </c>
      <c r="V199" s="13"/>
      <c r="W199" s="13">
        <v>350</v>
      </c>
      <c r="X199" s="13"/>
      <c r="Y199" s="13">
        <v>350</v>
      </c>
      <c r="Z199" s="13"/>
      <c r="AA199" s="13">
        <v>350</v>
      </c>
      <c r="AB199" s="13"/>
      <c r="AC199" s="13">
        <v>350</v>
      </c>
      <c r="AD199" s="13"/>
      <c r="AE199" s="13">
        <v>350</v>
      </c>
      <c r="AF199" s="13"/>
      <c r="AG199" s="13">
        <v>350</v>
      </c>
      <c r="AH199" s="13"/>
      <c r="AI199">
        <v>350</v>
      </c>
      <c r="AK199">
        <v>350</v>
      </c>
      <c r="AM199" s="18"/>
      <c r="AO199" s="7">
        <v>1</v>
      </c>
    </row>
    <row r="200" spans="1:41" x14ac:dyDescent="0.3">
      <c r="A200" s="8" t="s">
        <v>940</v>
      </c>
      <c r="B200" s="8" t="s">
        <v>139</v>
      </c>
      <c r="C200" s="8"/>
      <c r="D200" s="10">
        <v>53</v>
      </c>
      <c r="E200" s="11" t="s">
        <v>941</v>
      </c>
      <c r="F200" s="11"/>
      <c r="G200" s="11"/>
      <c r="H200" s="26" t="s">
        <v>942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M200" s="18"/>
    </row>
    <row r="201" spans="1:41" x14ac:dyDescent="0.3">
      <c r="A201" s="8" t="s">
        <v>943</v>
      </c>
      <c r="B201" s="8" t="s">
        <v>139</v>
      </c>
      <c r="C201" s="8"/>
      <c r="D201" s="10">
        <v>53</v>
      </c>
      <c r="E201" s="11" t="s">
        <v>944</v>
      </c>
      <c r="F201" s="11"/>
      <c r="G201" s="11"/>
      <c r="H201" s="12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M201" s="18"/>
    </row>
    <row r="202" spans="1:41" x14ac:dyDescent="0.3">
      <c r="A202" s="8" t="s">
        <v>945</v>
      </c>
      <c r="B202" s="11" t="s">
        <v>132</v>
      </c>
      <c r="C202" s="11"/>
      <c r="D202" s="10">
        <v>54</v>
      </c>
      <c r="E202" s="11" t="s">
        <v>946</v>
      </c>
      <c r="F202" s="11"/>
      <c r="G202" s="11"/>
      <c r="H202" s="25" t="s">
        <v>947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M202" s="18"/>
    </row>
    <row r="203" spans="1:41" x14ac:dyDescent="0.3">
      <c r="A203" s="8" t="s">
        <v>948</v>
      </c>
      <c r="B203" s="8" t="s">
        <v>25</v>
      </c>
      <c r="C203" s="8"/>
      <c r="D203" s="10">
        <v>54</v>
      </c>
      <c r="E203" s="11" t="s">
        <v>949</v>
      </c>
      <c r="F203" s="11" t="s">
        <v>950</v>
      </c>
      <c r="G203" s="11"/>
      <c r="H203" s="25" t="s">
        <v>951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M203" s="18"/>
    </row>
    <row r="204" spans="1:41" x14ac:dyDescent="0.3">
      <c r="A204" s="8" t="s">
        <v>952</v>
      </c>
      <c r="B204" s="8" t="s">
        <v>25</v>
      </c>
      <c r="C204" s="8"/>
      <c r="D204" s="10">
        <v>54</v>
      </c>
      <c r="E204" s="11" t="s">
        <v>953</v>
      </c>
      <c r="F204" s="11"/>
      <c r="G204" s="11"/>
      <c r="H204" s="25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M204" s="18"/>
    </row>
    <row r="205" spans="1:41" x14ac:dyDescent="0.3">
      <c r="A205" s="8" t="s">
        <v>296</v>
      </c>
      <c r="B205" s="8" t="s">
        <v>29</v>
      </c>
      <c r="C205" s="8" t="s">
        <v>493</v>
      </c>
      <c r="D205" s="10">
        <v>54</v>
      </c>
      <c r="E205" s="11" t="s">
        <v>954</v>
      </c>
      <c r="F205" s="11" t="s">
        <v>955</v>
      </c>
      <c r="G205" s="11"/>
      <c r="H205" s="25" t="s">
        <v>956</v>
      </c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13">
        <v>900</v>
      </c>
      <c r="AG205" s="13"/>
      <c r="AH205" s="13"/>
      <c r="AL205">
        <v>1600</v>
      </c>
      <c r="AM205" s="18" t="s">
        <v>957</v>
      </c>
      <c r="AO205" s="7">
        <v>1</v>
      </c>
    </row>
    <row r="206" spans="1:41" x14ac:dyDescent="0.3">
      <c r="A206" s="8" t="s">
        <v>958</v>
      </c>
      <c r="B206" s="8" t="s">
        <v>145</v>
      </c>
      <c r="C206" s="8"/>
      <c r="D206" s="10">
        <v>54</v>
      </c>
      <c r="E206" s="11" t="s">
        <v>959</v>
      </c>
      <c r="F206" s="11"/>
      <c r="G206" s="11"/>
      <c r="H206" s="25" t="s">
        <v>960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M206" s="18"/>
    </row>
    <row r="207" spans="1:41" x14ac:dyDescent="0.3">
      <c r="A207" s="11" t="s">
        <v>961</v>
      </c>
      <c r="B207" s="8" t="s">
        <v>25</v>
      </c>
      <c r="C207" s="8"/>
      <c r="D207" s="10">
        <v>55</v>
      </c>
      <c r="E207" s="11" t="s">
        <v>962</v>
      </c>
      <c r="F207" s="11"/>
      <c r="G207" s="11"/>
      <c r="H207" s="19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M207" s="18"/>
    </row>
    <row r="208" spans="1:41" x14ac:dyDescent="0.3">
      <c r="A208" s="8" t="s">
        <v>963</v>
      </c>
      <c r="B208" s="8" t="s">
        <v>139</v>
      </c>
      <c r="C208" s="8"/>
      <c r="D208" s="10">
        <v>55</v>
      </c>
      <c r="E208" s="11" t="s">
        <v>964</v>
      </c>
      <c r="F208" s="11"/>
      <c r="G208" s="11"/>
      <c r="H208" s="12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M208" s="18"/>
    </row>
    <row r="209" spans="1:42" x14ac:dyDescent="0.3">
      <c r="A209" s="11" t="s">
        <v>965</v>
      </c>
      <c r="B209" s="8" t="s">
        <v>394</v>
      </c>
      <c r="C209" s="8"/>
      <c r="D209" s="10">
        <v>55</v>
      </c>
      <c r="E209" s="11" t="s">
        <v>966</v>
      </c>
      <c r="F209" s="11"/>
      <c r="G209" s="11"/>
      <c r="H209" s="19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M209" s="18"/>
    </row>
    <row r="210" spans="1:42" x14ac:dyDescent="0.3">
      <c r="A210" s="11" t="s">
        <v>967</v>
      </c>
      <c r="B210" s="8" t="s">
        <v>394</v>
      </c>
      <c r="C210" s="8"/>
      <c r="D210" s="10">
        <v>55</v>
      </c>
      <c r="E210" s="11" t="s">
        <v>968</v>
      </c>
      <c r="F210" s="11"/>
      <c r="G210" s="11"/>
      <c r="H210" s="19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M210" s="18"/>
    </row>
    <row r="211" spans="1:42" x14ac:dyDescent="0.3">
      <c r="A211" s="11" t="s">
        <v>969</v>
      </c>
      <c r="B211" s="8" t="s">
        <v>394</v>
      </c>
      <c r="C211" s="8"/>
      <c r="D211" s="10">
        <v>55</v>
      </c>
      <c r="E211" s="11"/>
      <c r="F211" s="11"/>
      <c r="G211" s="11"/>
      <c r="H211" s="19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M211" s="18"/>
    </row>
    <row r="212" spans="1:42" x14ac:dyDescent="0.3">
      <c r="A212" s="11" t="s">
        <v>970</v>
      </c>
      <c r="B212" s="8" t="s">
        <v>25</v>
      </c>
      <c r="C212" s="9" t="s">
        <v>971</v>
      </c>
      <c r="D212" s="10">
        <v>56</v>
      </c>
      <c r="E212" s="11"/>
      <c r="F212" s="11"/>
      <c r="G212" s="11"/>
      <c r="H212" s="19"/>
      <c r="I212" s="13">
        <v>350</v>
      </c>
      <c r="J212" s="13"/>
      <c r="K212" s="13">
        <v>350</v>
      </c>
      <c r="L212" s="13"/>
      <c r="M212" s="13">
        <v>350</v>
      </c>
      <c r="N212" s="13"/>
      <c r="O212" s="13">
        <v>350</v>
      </c>
      <c r="P212" s="13"/>
      <c r="Q212" s="13">
        <v>350</v>
      </c>
      <c r="R212" s="13"/>
      <c r="S212" s="13">
        <v>350</v>
      </c>
      <c r="T212" s="13"/>
      <c r="U212" s="13">
        <v>350</v>
      </c>
      <c r="V212" s="13"/>
      <c r="W212" s="13">
        <v>350</v>
      </c>
      <c r="X212" s="13"/>
      <c r="Y212" s="13">
        <v>350</v>
      </c>
      <c r="Z212" s="13"/>
      <c r="AA212" s="13">
        <v>350</v>
      </c>
      <c r="AB212" s="13"/>
      <c r="AC212" s="13">
        <v>350</v>
      </c>
      <c r="AD212" s="13"/>
      <c r="AE212" s="13">
        <v>350</v>
      </c>
      <c r="AF212" s="13"/>
      <c r="AG212" s="13">
        <v>350</v>
      </c>
      <c r="AH212" s="13"/>
      <c r="AI212">
        <v>350</v>
      </c>
      <c r="AK212">
        <v>350</v>
      </c>
      <c r="AM212" s="18"/>
      <c r="AO212" s="7">
        <v>1</v>
      </c>
    </row>
    <row r="213" spans="1:42" x14ac:dyDescent="0.3">
      <c r="A213" s="11" t="s">
        <v>972</v>
      </c>
      <c r="B213" s="8" t="s">
        <v>25</v>
      </c>
      <c r="C213" s="8"/>
      <c r="D213" s="10">
        <v>56</v>
      </c>
      <c r="E213" s="11" t="s">
        <v>973</v>
      </c>
      <c r="F213" s="11"/>
      <c r="G213" s="11"/>
      <c r="H213" s="25" t="s">
        <v>974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M213" s="18"/>
    </row>
    <row r="214" spans="1:42" x14ac:dyDescent="0.3">
      <c r="A214" s="11" t="s">
        <v>975</v>
      </c>
      <c r="B214" s="8" t="s">
        <v>25</v>
      </c>
      <c r="C214" s="8"/>
      <c r="D214" s="10">
        <v>56</v>
      </c>
      <c r="E214" s="11" t="s">
        <v>976</v>
      </c>
      <c r="F214" s="11"/>
      <c r="G214" s="11"/>
      <c r="H214" s="25" t="s">
        <v>977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M214" s="18"/>
    </row>
    <row r="215" spans="1:42" x14ac:dyDescent="0.3">
      <c r="A215" s="8" t="s">
        <v>978</v>
      </c>
      <c r="B215" s="8" t="s">
        <v>29</v>
      </c>
      <c r="C215" s="8"/>
      <c r="D215" s="10">
        <v>56</v>
      </c>
      <c r="E215" s="11" t="s">
        <v>979</v>
      </c>
      <c r="F215" s="11"/>
      <c r="G215" s="11"/>
      <c r="H215" s="25" t="s">
        <v>980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M215" s="18"/>
    </row>
    <row r="216" spans="1:42" x14ac:dyDescent="0.3">
      <c r="A216" s="8" t="s">
        <v>981</v>
      </c>
      <c r="B216" s="8" t="s">
        <v>145</v>
      </c>
      <c r="C216" s="8"/>
      <c r="D216" s="10">
        <v>56</v>
      </c>
      <c r="E216" s="11" t="s">
        <v>982</v>
      </c>
      <c r="F216" s="11" t="s">
        <v>983</v>
      </c>
      <c r="G216" s="11"/>
      <c r="H216" s="25" t="s">
        <v>984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M216" s="18"/>
    </row>
    <row r="217" spans="1:42" x14ac:dyDescent="0.3">
      <c r="A217" s="8" t="s">
        <v>138</v>
      </c>
      <c r="B217" s="8" t="s">
        <v>139</v>
      </c>
      <c r="C217" s="8"/>
      <c r="D217" s="10">
        <v>57</v>
      </c>
      <c r="E217" s="11" t="s">
        <v>985</v>
      </c>
      <c r="F217" s="11"/>
      <c r="G217" s="11"/>
      <c r="H217" s="25" t="s">
        <v>986</v>
      </c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13">
        <v>500</v>
      </c>
      <c r="AM217" s="18" t="s">
        <v>500</v>
      </c>
      <c r="AP217" s="27">
        <v>500</v>
      </c>
    </row>
    <row r="218" spans="1:42" x14ac:dyDescent="0.3">
      <c r="A218" s="11" t="s">
        <v>987</v>
      </c>
      <c r="B218" s="8" t="s">
        <v>394</v>
      </c>
      <c r="C218" s="8"/>
      <c r="D218" s="10">
        <v>57</v>
      </c>
      <c r="E218" s="11" t="s">
        <v>988</v>
      </c>
      <c r="F218" s="11"/>
      <c r="G218" s="11"/>
      <c r="H218" s="19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M218" s="18"/>
    </row>
    <row r="219" spans="1:42" x14ac:dyDescent="0.3">
      <c r="A219" s="11" t="s">
        <v>989</v>
      </c>
      <c r="B219" s="8" t="s">
        <v>394</v>
      </c>
      <c r="C219" s="8"/>
      <c r="D219" s="10">
        <v>57</v>
      </c>
      <c r="E219" s="11"/>
      <c r="F219" s="11"/>
      <c r="G219" s="11"/>
      <c r="H219" s="19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M219" s="18"/>
    </row>
    <row r="220" spans="1:42" x14ac:dyDescent="0.3">
      <c r="A220" s="11" t="s">
        <v>990</v>
      </c>
      <c r="B220" s="8" t="s">
        <v>25</v>
      </c>
      <c r="C220" s="8"/>
      <c r="D220" s="10">
        <v>58</v>
      </c>
      <c r="E220" s="11" t="s">
        <v>991</v>
      </c>
      <c r="F220" s="11"/>
      <c r="G220" s="11"/>
      <c r="H220" s="19"/>
      <c r="I220" s="13">
        <v>300</v>
      </c>
      <c r="J220" s="13"/>
      <c r="K220" s="13">
        <v>300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M220" s="43"/>
      <c r="AN220" s="44"/>
    </row>
    <row r="221" spans="1:42" x14ac:dyDescent="0.3">
      <c r="A221" s="8" t="s">
        <v>992</v>
      </c>
      <c r="B221" s="8" t="s">
        <v>29</v>
      </c>
      <c r="C221" s="8"/>
      <c r="D221" s="10">
        <v>58</v>
      </c>
      <c r="E221" s="11" t="s">
        <v>993</v>
      </c>
      <c r="F221" s="11"/>
      <c r="G221" s="11"/>
      <c r="H221" s="25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M221" s="18"/>
    </row>
    <row r="222" spans="1:42" x14ac:dyDescent="0.3">
      <c r="A222" s="8" t="s">
        <v>117</v>
      </c>
      <c r="B222" s="8" t="s">
        <v>29</v>
      </c>
      <c r="C222" s="8" t="s">
        <v>994</v>
      </c>
      <c r="D222" s="10">
        <v>58</v>
      </c>
      <c r="E222" s="11" t="s">
        <v>995</v>
      </c>
      <c r="F222" s="11" t="s">
        <v>996</v>
      </c>
      <c r="G222" s="11"/>
      <c r="H222" s="25" t="s">
        <v>997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>
        <v>300</v>
      </c>
      <c r="AM222" s="18" t="s">
        <v>500</v>
      </c>
      <c r="AN222" s="7">
        <v>300</v>
      </c>
      <c r="AP222" s="27">
        <v>300</v>
      </c>
    </row>
    <row r="223" spans="1:42" x14ac:dyDescent="0.3">
      <c r="A223" s="8" t="s">
        <v>211</v>
      </c>
      <c r="B223" s="8" t="s">
        <v>94</v>
      </c>
      <c r="C223" s="9" t="s">
        <v>998</v>
      </c>
      <c r="D223" s="46">
        <v>59</v>
      </c>
      <c r="E223" s="11" t="s">
        <v>999</v>
      </c>
      <c r="F223" s="11" t="s">
        <v>1000</v>
      </c>
      <c r="G223" s="11"/>
      <c r="H223" s="25" t="s">
        <v>1001</v>
      </c>
      <c r="I223" s="13">
        <v>363</v>
      </c>
      <c r="J223" s="13"/>
      <c r="K223" s="13">
        <v>363</v>
      </c>
      <c r="L223" s="13"/>
      <c r="M223" s="13">
        <v>363</v>
      </c>
      <c r="N223" s="13"/>
      <c r="O223" s="13">
        <v>363</v>
      </c>
      <c r="P223" s="13"/>
      <c r="Q223" s="13">
        <v>200</v>
      </c>
      <c r="R223" s="13"/>
      <c r="S223" s="13">
        <v>200</v>
      </c>
      <c r="T223" s="13"/>
      <c r="U223" s="13">
        <v>200</v>
      </c>
      <c r="V223" s="13"/>
      <c r="W223" s="13">
        <v>200</v>
      </c>
      <c r="X223" s="13"/>
      <c r="Y223" s="13">
        <v>200</v>
      </c>
      <c r="Z223" s="13"/>
      <c r="AA223" s="13">
        <v>200</v>
      </c>
      <c r="AB223" s="13"/>
      <c r="AC223" s="13">
        <v>200</v>
      </c>
      <c r="AD223" s="13"/>
      <c r="AE223" s="13">
        <v>200</v>
      </c>
      <c r="AF223" s="13"/>
      <c r="AG223" s="13">
        <v>200</v>
      </c>
      <c r="AH223" s="13">
        <v>600</v>
      </c>
      <c r="AI223">
        <v>200</v>
      </c>
      <c r="AK223">
        <v>200</v>
      </c>
      <c r="AM223" s="18" t="s">
        <v>500</v>
      </c>
      <c r="AO223" s="7">
        <v>1</v>
      </c>
      <c r="AP223" s="27">
        <v>600</v>
      </c>
    </row>
    <row r="224" spans="1:42" x14ac:dyDescent="0.3">
      <c r="A224" s="8" t="s">
        <v>1002</v>
      </c>
      <c r="B224" s="11" t="s">
        <v>132</v>
      </c>
      <c r="C224" s="9" t="s">
        <v>1003</v>
      </c>
      <c r="D224" s="10">
        <v>59</v>
      </c>
      <c r="E224" s="11" t="s">
        <v>1004</v>
      </c>
      <c r="F224" s="11"/>
      <c r="G224" s="11"/>
      <c r="H224" s="12"/>
      <c r="I224" s="13">
        <v>440</v>
      </c>
      <c r="J224" s="13"/>
      <c r="K224" s="13">
        <v>440</v>
      </c>
      <c r="L224" s="13"/>
      <c r="M224" s="13">
        <v>440</v>
      </c>
      <c r="N224" s="13"/>
      <c r="O224" s="13">
        <v>440</v>
      </c>
      <c r="P224" s="13"/>
      <c r="Q224" s="13">
        <v>440</v>
      </c>
      <c r="R224" s="13"/>
      <c r="S224" s="13">
        <v>440</v>
      </c>
      <c r="T224" s="13"/>
      <c r="U224" s="13">
        <v>440</v>
      </c>
      <c r="V224" s="13"/>
      <c r="W224" s="13">
        <v>440</v>
      </c>
      <c r="X224" s="13"/>
      <c r="Y224" s="13">
        <v>440</v>
      </c>
      <c r="Z224" s="13"/>
      <c r="AA224" s="13">
        <v>440</v>
      </c>
      <c r="AB224" s="13"/>
      <c r="AC224" s="13">
        <v>440</v>
      </c>
      <c r="AD224" s="13"/>
      <c r="AE224" s="13">
        <v>440</v>
      </c>
      <c r="AF224" s="13"/>
      <c r="AG224" s="13">
        <v>440</v>
      </c>
      <c r="AH224" s="13"/>
      <c r="AI224">
        <v>440</v>
      </c>
      <c r="AK224">
        <v>440</v>
      </c>
      <c r="AM224" s="18"/>
      <c r="AO224" s="7">
        <v>1</v>
      </c>
    </row>
    <row r="225" spans="1:41" x14ac:dyDescent="0.3">
      <c r="A225" s="8" t="s">
        <v>1005</v>
      </c>
      <c r="B225" s="11" t="s">
        <v>132</v>
      </c>
      <c r="C225" s="9"/>
      <c r="D225" s="10">
        <v>59</v>
      </c>
      <c r="E225" s="11" t="s">
        <v>1004</v>
      </c>
      <c r="F225" s="11"/>
      <c r="G225" s="11"/>
      <c r="H225" s="12" t="s">
        <v>1006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M225" s="18"/>
    </row>
    <row r="226" spans="1:41" x14ac:dyDescent="0.3">
      <c r="A226" s="11" t="s">
        <v>1007</v>
      </c>
      <c r="B226" s="8" t="s">
        <v>25</v>
      </c>
      <c r="C226" s="8"/>
      <c r="D226" s="10">
        <v>59</v>
      </c>
      <c r="E226" s="11" t="s">
        <v>1008</v>
      </c>
      <c r="F226" s="11"/>
      <c r="G226" s="11"/>
      <c r="H226" s="19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M226" s="43"/>
      <c r="AN226" s="44"/>
    </row>
    <row r="227" spans="1:41" x14ac:dyDescent="0.3">
      <c r="A227" s="8" t="s">
        <v>1009</v>
      </c>
      <c r="B227" s="8" t="s">
        <v>139</v>
      </c>
      <c r="C227" s="8" t="s">
        <v>1010</v>
      </c>
      <c r="D227" s="10">
        <v>59</v>
      </c>
      <c r="E227" s="11" t="s">
        <v>1011</v>
      </c>
      <c r="F227" s="11"/>
      <c r="G227" s="11"/>
      <c r="H227" s="25" t="s">
        <v>1012</v>
      </c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13">
        <v>170</v>
      </c>
      <c r="AH227" s="30"/>
      <c r="AI227">
        <v>170</v>
      </c>
      <c r="AK227">
        <v>170</v>
      </c>
      <c r="AM227" s="39" t="s">
        <v>1013</v>
      </c>
      <c r="AN227" s="40"/>
      <c r="AO227" s="7">
        <v>1</v>
      </c>
    </row>
    <row r="228" spans="1:41" x14ac:dyDescent="0.3">
      <c r="A228" s="8" t="s">
        <v>1014</v>
      </c>
      <c r="B228" s="8" t="s">
        <v>139</v>
      </c>
      <c r="C228" s="8"/>
      <c r="D228" s="10">
        <v>59</v>
      </c>
      <c r="E228" s="11" t="s">
        <v>1008</v>
      </c>
      <c r="F228" s="11"/>
      <c r="G228" s="11"/>
      <c r="H228" s="12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M228" s="18"/>
    </row>
    <row r="229" spans="1:41" x14ac:dyDescent="0.3">
      <c r="A229" s="8" t="s">
        <v>229</v>
      </c>
      <c r="B229" s="11" t="s">
        <v>132</v>
      </c>
      <c r="C229" s="11"/>
      <c r="D229" s="10">
        <v>60</v>
      </c>
      <c r="E229" s="11" t="s">
        <v>1015</v>
      </c>
      <c r="F229" s="11"/>
      <c r="G229" s="11"/>
      <c r="H229" s="25" t="s">
        <v>1016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J229">
        <v>350</v>
      </c>
      <c r="AM229" s="18"/>
    </row>
    <row r="230" spans="1:41" x14ac:dyDescent="0.3">
      <c r="A230" s="11" t="s">
        <v>253</v>
      </c>
      <c r="B230" s="8" t="s">
        <v>25</v>
      </c>
      <c r="C230" s="8"/>
      <c r="D230" s="10">
        <v>60</v>
      </c>
      <c r="E230" s="11" t="s">
        <v>1017</v>
      </c>
      <c r="F230" s="11"/>
      <c r="G230" s="11"/>
      <c r="H230" s="16" t="s">
        <v>1018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M230" s="18"/>
      <c r="AN230">
        <v>500</v>
      </c>
    </row>
    <row r="231" spans="1:41" x14ac:dyDescent="0.3">
      <c r="A231" s="11" t="s">
        <v>1019</v>
      </c>
      <c r="B231" s="8" t="s">
        <v>25</v>
      </c>
      <c r="C231" s="8"/>
      <c r="D231" s="10">
        <v>60</v>
      </c>
      <c r="E231" s="11" t="s">
        <v>1020</v>
      </c>
      <c r="F231" s="11"/>
      <c r="G231" s="11"/>
      <c r="H231" s="19" t="s">
        <v>1021</v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M231" s="18"/>
    </row>
    <row r="232" spans="1:41" x14ac:dyDescent="0.3">
      <c r="A232" s="8" t="s">
        <v>1022</v>
      </c>
      <c r="B232" s="8" t="s">
        <v>94</v>
      </c>
      <c r="C232" s="8"/>
      <c r="D232" s="46">
        <v>61</v>
      </c>
      <c r="E232" s="11" t="s">
        <v>1023</v>
      </c>
      <c r="F232" s="11"/>
      <c r="G232" s="11"/>
      <c r="H232" s="19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M232" s="18"/>
    </row>
    <row r="233" spans="1:41" x14ac:dyDescent="0.3">
      <c r="A233" s="8" t="s">
        <v>1024</v>
      </c>
      <c r="B233" s="11" t="s">
        <v>132</v>
      </c>
      <c r="C233" s="11"/>
      <c r="D233" s="10">
        <v>61</v>
      </c>
      <c r="E233" s="11" t="s">
        <v>1025</v>
      </c>
      <c r="F233" s="11"/>
      <c r="G233" s="11"/>
      <c r="H233" s="25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M233" s="18"/>
    </row>
    <row r="234" spans="1:41" x14ac:dyDescent="0.3">
      <c r="A234" s="8" t="s">
        <v>1026</v>
      </c>
      <c r="B234" s="11" t="s">
        <v>132</v>
      </c>
      <c r="C234" s="11" t="s">
        <v>493</v>
      </c>
      <c r="D234" s="10">
        <v>61</v>
      </c>
      <c r="E234" s="11" t="s">
        <v>1027</v>
      </c>
      <c r="F234" s="11"/>
      <c r="G234" s="11"/>
      <c r="H234" s="26" t="s">
        <v>1028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>
        <v>6750</v>
      </c>
      <c r="AE234" s="13"/>
      <c r="AF234" s="13"/>
      <c r="AG234" s="13"/>
      <c r="AH234" s="13"/>
      <c r="AM234" s="18" t="s">
        <v>1029</v>
      </c>
      <c r="AO234" s="7">
        <v>1</v>
      </c>
    </row>
    <row r="235" spans="1:41" x14ac:dyDescent="0.3">
      <c r="A235" s="8" t="s">
        <v>1030</v>
      </c>
      <c r="B235" s="11" t="s">
        <v>132</v>
      </c>
      <c r="C235" s="11"/>
      <c r="D235" s="10">
        <v>61</v>
      </c>
      <c r="E235" s="11" t="s">
        <v>1025</v>
      </c>
      <c r="F235" s="11"/>
      <c r="G235" s="11"/>
      <c r="H235" s="26" t="s">
        <v>1031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M235" s="18"/>
    </row>
    <row r="236" spans="1:41" x14ac:dyDescent="0.3">
      <c r="A236" s="8" t="s">
        <v>1032</v>
      </c>
      <c r="B236" s="11" t="s">
        <v>132</v>
      </c>
      <c r="C236" s="11"/>
      <c r="D236" s="10">
        <v>61</v>
      </c>
      <c r="E236" s="11" t="s">
        <v>1033</v>
      </c>
      <c r="F236" s="11"/>
      <c r="G236" s="11"/>
      <c r="H236" s="12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M236" s="18"/>
    </row>
    <row r="237" spans="1:41" x14ac:dyDescent="0.3">
      <c r="A237" s="11" t="s">
        <v>1034</v>
      </c>
      <c r="B237" s="8" t="s">
        <v>25</v>
      </c>
      <c r="C237" s="8"/>
      <c r="D237" s="10">
        <v>61</v>
      </c>
      <c r="E237" s="11" t="s">
        <v>1035</v>
      </c>
      <c r="F237" s="11"/>
      <c r="G237" s="11"/>
      <c r="H237" s="19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M237" s="18"/>
    </row>
    <row r="238" spans="1:41" x14ac:dyDescent="0.3">
      <c r="A238" s="8" t="s">
        <v>1036</v>
      </c>
      <c r="B238" s="8" t="s">
        <v>139</v>
      </c>
      <c r="C238" s="8"/>
      <c r="D238" s="10">
        <v>61</v>
      </c>
      <c r="E238" s="11" t="s">
        <v>1037</v>
      </c>
      <c r="F238" s="11"/>
      <c r="G238" s="11"/>
      <c r="H238" s="12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M238" s="18"/>
    </row>
    <row r="239" spans="1:41" x14ac:dyDescent="0.3">
      <c r="A239" s="8" t="s">
        <v>1038</v>
      </c>
      <c r="B239" s="8" t="s">
        <v>139</v>
      </c>
      <c r="C239" s="8"/>
      <c r="D239" s="10">
        <v>61</v>
      </c>
      <c r="E239" s="11" t="s">
        <v>1039</v>
      </c>
      <c r="F239" s="11"/>
      <c r="G239" s="11"/>
      <c r="H239" s="26" t="s">
        <v>1040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M239" s="18"/>
    </row>
    <row r="240" spans="1:41" x14ac:dyDescent="0.3">
      <c r="A240" s="8" t="s">
        <v>1041</v>
      </c>
      <c r="B240" s="8" t="s">
        <v>139</v>
      </c>
      <c r="C240" s="8"/>
      <c r="D240" s="10">
        <v>61</v>
      </c>
      <c r="E240" s="11" t="s">
        <v>1042</v>
      </c>
      <c r="F240" s="11"/>
      <c r="G240" s="11"/>
      <c r="H240" s="12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M240" s="18"/>
    </row>
    <row r="241" spans="1:42" x14ac:dyDescent="0.3">
      <c r="A241" s="11" t="s">
        <v>1043</v>
      </c>
      <c r="B241" s="8" t="s">
        <v>394</v>
      </c>
      <c r="C241" s="8"/>
      <c r="D241" s="10">
        <v>61</v>
      </c>
      <c r="E241" s="11" t="s">
        <v>1044</v>
      </c>
      <c r="F241" s="11"/>
      <c r="G241" s="11"/>
      <c r="H241" s="19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M241" s="18"/>
    </row>
    <row r="242" spans="1:42" x14ac:dyDescent="0.3">
      <c r="A242" s="11" t="s">
        <v>234</v>
      </c>
      <c r="B242" s="8" t="s">
        <v>25</v>
      </c>
      <c r="C242" s="8"/>
      <c r="D242" s="10">
        <v>62</v>
      </c>
      <c r="E242" s="11" t="s">
        <v>1045</v>
      </c>
      <c r="F242" s="11"/>
      <c r="G242" s="11"/>
      <c r="H242" s="19"/>
      <c r="I242" s="13">
        <v>350</v>
      </c>
      <c r="J242" s="30"/>
      <c r="K242" s="13">
        <v>350</v>
      </c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J242">
        <v>200</v>
      </c>
      <c r="AM242" s="18"/>
    </row>
    <row r="243" spans="1:42" x14ac:dyDescent="0.3">
      <c r="A243" s="8" t="s">
        <v>28</v>
      </c>
      <c r="B243" s="8" t="s">
        <v>29</v>
      </c>
      <c r="C243" s="8" t="s">
        <v>506</v>
      </c>
      <c r="D243" s="10">
        <v>62</v>
      </c>
      <c r="E243" s="11" t="s">
        <v>1046</v>
      </c>
      <c r="F243" s="11"/>
      <c r="G243" s="11"/>
      <c r="H243" s="25" t="s">
        <v>1047</v>
      </c>
      <c r="I243" s="13"/>
      <c r="J243" s="13">
        <v>200</v>
      </c>
      <c r="K243" s="13"/>
      <c r="L243" s="13">
        <v>200</v>
      </c>
      <c r="M243" s="13"/>
      <c r="N243" s="13">
        <v>200</v>
      </c>
      <c r="O243" s="13"/>
      <c r="P243" s="13">
        <v>200</v>
      </c>
      <c r="Q243" s="13"/>
      <c r="R243" s="13">
        <v>200</v>
      </c>
      <c r="S243" s="13"/>
      <c r="T243" s="13">
        <v>200</v>
      </c>
      <c r="U243" s="13"/>
      <c r="V243" s="13">
        <v>200</v>
      </c>
      <c r="W243" s="13"/>
      <c r="X243" s="13">
        <v>200</v>
      </c>
      <c r="Y243" s="13"/>
      <c r="Z243" s="13">
        <v>200</v>
      </c>
      <c r="AA243" s="13"/>
      <c r="AB243" s="13">
        <v>200</v>
      </c>
      <c r="AC243" s="13"/>
      <c r="AD243" s="13"/>
      <c r="AE243" s="13"/>
      <c r="AF243" s="13"/>
      <c r="AG243" s="13"/>
      <c r="AH243" s="13">
        <f>200+3500</f>
        <v>3700</v>
      </c>
      <c r="AL243">
        <v>200</v>
      </c>
      <c r="AM243" s="18" t="s">
        <v>500</v>
      </c>
      <c r="AN243" s="7">
        <v>3500</v>
      </c>
      <c r="AO243" s="7">
        <v>1</v>
      </c>
      <c r="AP243" s="27">
        <v>3500</v>
      </c>
    </row>
    <row r="244" spans="1:42" x14ac:dyDescent="0.3">
      <c r="A244" s="8" t="s">
        <v>1048</v>
      </c>
      <c r="B244" s="8" t="s">
        <v>29</v>
      </c>
      <c r="C244" s="8"/>
      <c r="D244" s="10">
        <v>62</v>
      </c>
      <c r="E244" s="11" t="s">
        <v>1049</v>
      </c>
      <c r="F244" s="11"/>
      <c r="G244" s="11"/>
      <c r="H244" s="25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M244" s="18"/>
    </row>
    <row r="245" spans="1:42" x14ac:dyDescent="0.3">
      <c r="A245" s="8" t="s">
        <v>1050</v>
      </c>
      <c r="B245" s="11" t="s">
        <v>39</v>
      </c>
      <c r="C245" s="11"/>
      <c r="D245" s="10">
        <v>63</v>
      </c>
      <c r="E245" s="11" t="s">
        <v>1051</v>
      </c>
      <c r="F245" s="11"/>
      <c r="G245" s="11"/>
      <c r="H245" s="12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M245" s="18"/>
    </row>
    <row r="246" spans="1:42" x14ac:dyDescent="0.3">
      <c r="A246" s="11" t="s">
        <v>1052</v>
      </c>
      <c r="B246" s="8" t="s">
        <v>25</v>
      </c>
      <c r="C246" s="8"/>
      <c r="D246" s="10">
        <v>63</v>
      </c>
      <c r="E246" s="11" t="s">
        <v>1053</v>
      </c>
      <c r="F246" s="11"/>
      <c r="G246" s="11"/>
      <c r="H246" s="19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M246" s="18"/>
    </row>
    <row r="247" spans="1:42" x14ac:dyDescent="0.3">
      <c r="A247" s="8" t="s">
        <v>1054</v>
      </c>
      <c r="B247" s="8" t="s">
        <v>139</v>
      </c>
      <c r="C247" s="8"/>
      <c r="D247" s="10">
        <v>63</v>
      </c>
      <c r="E247" s="11" t="s">
        <v>1055</v>
      </c>
      <c r="F247" s="11"/>
      <c r="G247" s="11"/>
      <c r="H247" s="12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M247" s="18"/>
    </row>
    <row r="248" spans="1:42" x14ac:dyDescent="0.3">
      <c r="A248" s="8" t="s">
        <v>1056</v>
      </c>
      <c r="B248" s="8" t="s">
        <v>139</v>
      </c>
      <c r="C248" s="8"/>
      <c r="D248" s="10">
        <v>63</v>
      </c>
      <c r="E248" s="11" t="s">
        <v>1057</v>
      </c>
      <c r="F248" s="11"/>
      <c r="G248" s="11"/>
      <c r="H248" s="25" t="s">
        <v>1058</v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M248" s="18"/>
    </row>
    <row r="249" spans="1:42" x14ac:dyDescent="0.3">
      <c r="A249" s="8" t="s">
        <v>1059</v>
      </c>
      <c r="B249" s="8" t="s">
        <v>394</v>
      </c>
      <c r="C249" s="8"/>
      <c r="D249" s="46">
        <v>63</v>
      </c>
      <c r="E249" s="11" t="s">
        <v>1060</v>
      </c>
      <c r="F249" s="11"/>
      <c r="G249" s="11"/>
      <c r="H249" s="12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M249" s="18"/>
    </row>
    <row r="250" spans="1:42" x14ac:dyDescent="0.3">
      <c r="A250" s="8" t="s">
        <v>1061</v>
      </c>
      <c r="B250" s="8" t="s">
        <v>394</v>
      </c>
      <c r="C250" s="8"/>
      <c r="D250" s="46">
        <v>63</v>
      </c>
      <c r="E250" s="11" t="s">
        <v>1062</v>
      </c>
      <c r="F250" s="11"/>
      <c r="G250" s="11"/>
      <c r="H250" s="25" t="s">
        <v>1063</v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M250" s="18"/>
    </row>
    <row r="251" spans="1:42" x14ac:dyDescent="0.3">
      <c r="A251" s="8" t="s">
        <v>1064</v>
      </c>
      <c r="B251" s="11" t="s">
        <v>39</v>
      </c>
      <c r="C251" s="11"/>
      <c r="D251" s="10">
        <v>64</v>
      </c>
      <c r="E251" s="11" t="s">
        <v>1065</v>
      </c>
      <c r="F251" s="11"/>
      <c r="G251" s="11"/>
      <c r="H251" s="25" t="s">
        <v>1066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M251" s="18"/>
    </row>
    <row r="252" spans="1:42" x14ac:dyDescent="0.3">
      <c r="A252" s="11" t="s">
        <v>1067</v>
      </c>
      <c r="B252" s="8" t="s">
        <v>25</v>
      </c>
      <c r="C252" s="9" t="s">
        <v>1068</v>
      </c>
      <c r="D252" s="10">
        <v>64</v>
      </c>
      <c r="E252" s="11" t="s">
        <v>1069</v>
      </c>
      <c r="F252" s="11" t="s">
        <v>1070</v>
      </c>
      <c r="G252" s="11"/>
      <c r="H252" s="19" t="s">
        <v>1071</v>
      </c>
      <c r="I252" s="13">
        <v>350</v>
      </c>
      <c r="J252" s="13"/>
      <c r="K252" s="13">
        <v>350</v>
      </c>
      <c r="L252" s="13"/>
      <c r="M252" s="13">
        <v>350</v>
      </c>
      <c r="N252" s="13"/>
      <c r="O252" s="13">
        <v>350</v>
      </c>
      <c r="P252" s="13"/>
      <c r="Q252" s="13">
        <v>350</v>
      </c>
      <c r="R252" s="13"/>
      <c r="S252" s="13">
        <v>350</v>
      </c>
      <c r="T252" s="13"/>
      <c r="U252" s="13">
        <v>350</v>
      </c>
      <c r="V252" s="13"/>
      <c r="W252" s="13">
        <v>350</v>
      </c>
      <c r="X252" s="13"/>
      <c r="Y252" s="13">
        <v>350</v>
      </c>
      <c r="Z252" s="13"/>
      <c r="AA252" s="13">
        <v>350</v>
      </c>
      <c r="AB252" s="13"/>
      <c r="AC252" s="13">
        <v>350</v>
      </c>
      <c r="AD252" s="13"/>
      <c r="AE252" s="13">
        <v>350</v>
      </c>
      <c r="AF252" s="13"/>
      <c r="AG252" s="13">
        <v>350</v>
      </c>
      <c r="AH252" s="13"/>
      <c r="AI252">
        <v>350</v>
      </c>
      <c r="AK252">
        <v>350</v>
      </c>
      <c r="AM252" s="18"/>
      <c r="AO252" s="7">
        <v>1</v>
      </c>
    </row>
    <row r="253" spans="1:42" x14ac:dyDescent="0.3">
      <c r="A253" s="8" t="s">
        <v>1072</v>
      </c>
      <c r="B253" s="8" t="s">
        <v>139</v>
      </c>
      <c r="C253" s="8"/>
      <c r="D253" s="10">
        <v>65</v>
      </c>
      <c r="E253" s="11"/>
      <c r="F253" s="11"/>
      <c r="G253" s="11"/>
      <c r="H253" s="12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M253" s="18"/>
    </row>
    <row r="254" spans="1:42" x14ac:dyDescent="0.3">
      <c r="A254" s="8" t="s">
        <v>192</v>
      </c>
      <c r="B254" s="8" t="s">
        <v>29</v>
      </c>
      <c r="C254" s="9" t="s">
        <v>1073</v>
      </c>
      <c r="D254" s="10">
        <v>65</v>
      </c>
      <c r="E254" s="11" t="s">
        <v>1074</v>
      </c>
      <c r="F254" s="11" t="s">
        <v>1075</v>
      </c>
      <c r="G254" s="11"/>
      <c r="H254" s="26" t="s">
        <v>1076</v>
      </c>
      <c r="I254" s="13">
        <v>440</v>
      </c>
      <c r="J254" s="13"/>
      <c r="K254" s="13">
        <v>440</v>
      </c>
      <c r="L254" s="13"/>
      <c r="M254" s="13">
        <v>440</v>
      </c>
      <c r="N254" s="13"/>
      <c r="O254" s="13">
        <v>440</v>
      </c>
      <c r="P254" s="13"/>
      <c r="Q254" s="13">
        <v>440</v>
      </c>
      <c r="R254" s="13"/>
      <c r="S254" s="13">
        <v>440</v>
      </c>
      <c r="T254" s="13"/>
      <c r="U254" s="13">
        <v>440</v>
      </c>
      <c r="V254" s="13"/>
      <c r="W254" s="13">
        <v>440</v>
      </c>
      <c r="X254" s="13"/>
      <c r="Y254" s="13">
        <v>440</v>
      </c>
      <c r="Z254" s="13"/>
      <c r="AA254" s="13">
        <v>440</v>
      </c>
      <c r="AB254" s="13"/>
      <c r="AC254" s="13">
        <v>440</v>
      </c>
      <c r="AD254" s="13"/>
      <c r="AE254" s="13">
        <v>440</v>
      </c>
      <c r="AF254" s="13"/>
      <c r="AG254" s="13">
        <v>440</v>
      </c>
      <c r="AH254" s="13">
        <v>500</v>
      </c>
      <c r="AI254">
        <v>440</v>
      </c>
      <c r="AK254">
        <v>440</v>
      </c>
      <c r="AM254" s="18" t="s">
        <v>500</v>
      </c>
      <c r="AO254" s="7">
        <v>1</v>
      </c>
      <c r="AP254" s="27">
        <v>500</v>
      </c>
    </row>
    <row r="255" spans="1:42" x14ac:dyDescent="0.3">
      <c r="A255" s="8" t="s">
        <v>1077</v>
      </c>
      <c r="B255" s="8" t="s">
        <v>29</v>
      </c>
      <c r="C255" s="9"/>
      <c r="D255" s="10">
        <v>65</v>
      </c>
      <c r="E255" s="11"/>
      <c r="F255" s="11"/>
      <c r="G255" s="11"/>
      <c r="H255" s="12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M255" s="18"/>
    </row>
    <row r="256" spans="1:42" x14ac:dyDescent="0.3">
      <c r="A256" s="8" t="s">
        <v>1078</v>
      </c>
      <c r="B256" s="8" t="s">
        <v>29</v>
      </c>
      <c r="C256" s="9"/>
      <c r="D256" s="10">
        <v>65</v>
      </c>
      <c r="E256" s="11"/>
      <c r="F256" s="11"/>
      <c r="G256" s="11"/>
      <c r="H256" s="12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M256" s="18"/>
    </row>
    <row r="257" spans="1:281" x14ac:dyDescent="0.3">
      <c r="A257" s="8" t="s">
        <v>1079</v>
      </c>
      <c r="B257" s="8" t="s">
        <v>394</v>
      </c>
      <c r="C257" s="8"/>
      <c r="D257" s="46">
        <v>65</v>
      </c>
      <c r="E257" s="11" t="s">
        <v>1080</v>
      </c>
      <c r="F257" s="11"/>
      <c r="G257" s="11"/>
      <c r="H257" s="12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M257" s="18"/>
    </row>
    <row r="258" spans="1:281" x14ac:dyDescent="0.3">
      <c r="A258" s="8" t="s">
        <v>1081</v>
      </c>
      <c r="B258" s="8" t="s">
        <v>394</v>
      </c>
      <c r="C258" s="8"/>
      <c r="D258" s="46">
        <v>65</v>
      </c>
      <c r="E258" s="11"/>
      <c r="F258" s="11"/>
      <c r="G258" s="11"/>
      <c r="H258" s="12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M258" s="18"/>
    </row>
    <row r="259" spans="1:281" x14ac:dyDescent="0.3">
      <c r="A259" s="11" t="s">
        <v>1082</v>
      </c>
      <c r="B259" s="8" t="s">
        <v>25</v>
      </c>
      <c r="C259" s="9" t="s">
        <v>1083</v>
      </c>
      <c r="D259" s="10">
        <v>66</v>
      </c>
      <c r="E259" s="11" t="s">
        <v>1084</v>
      </c>
      <c r="F259" s="11" t="s">
        <v>1085</v>
      </c>
      <c r="G259" s="11"/>
      <c r="H259" s="25" t="s">
        <v>1086</v>
      </c>
      <c r="I259" s="13">
        <v>363</v>
      </c>
      <c r="J259" s="13"/>
      <c r="K259" s="13">
        <v>363</v>
      </c>
      <c r="L259" s="13"/>
      <c r="M259" s="13">
        <v>363</v>
      </c>
      <c r="N259" s="13"/>
      <c r="O259" s="13">
        <v>363</v>
      </c>
      <c r="P259" s="13"/>
      <c r="Q259" s="13">
        <v>363</v>
      </c>
      <c r="R259" s="13"/>
      <c r="S259" s="13">
        <v>363</v>
      </c>
      <c r="T259" s="13"/>
      <c r="U259" s="13">
        <v>363</v>
      </c>
      <c r="V259" s="13"/>
      <c r="W259" s="13">
        <v>363</v>
      </c>
      <c r="X259" s="13"/>
      <c r="Y259" s="13">
        <v>363</v>
      </c>
      <c r="Z259" s="13"/>
      <c r="AA259" s="13">
        <v>363</v>
      </c>
      <c r="AB259" s="13"/>
      <c r="AC259" s="13">
        <v>363</v>
      </c>
      <c r="AD259" s="13"/>
      <c r="AE259" s="13">
        <v>363</v>
      </c>
      <c r="AF259" s="13"/>
      <c r="AG259" s="13">
        <v>363</v>
      </c>
      <c r="AH259" s="13"/>
      <c r="AI259">
        <v>363</v>
      </c>
      <c r="AK259">
        <v>363</v>
      </c>
      <c r="AM259" s="18"/>
      <c r="AO259" s="7">
        <v>1</v>
      </c>
    </row>
    <row r="260" spans="1:281" x14ac:dyDescent="0.3">
      <c r="A260" s="21" t="s">
        <v>155</v>
      </c>
      <c r="B260" s="8" t="s">
        <v>29</v>
      </c>
      <c r="C260" s="9" t="s">
        <v>1087</v>
      </c>
      <c r="D260" s="33">
        <v>66</v>
      </c>
      <c r="E260" s="34" t="s">
        <v>1088</v>
      </c>
      <c r="F260" s="34" t="s">
        <v>1089</v>
      </c>
      <c r="G260" s="34"/>
      <c r="H260" s="25" t="s">
        <v>1090</v>
      </c>
      <c r="I260" s="13">
        <v>400</v>
      </c>
      <c r="J260" s="13"/>
      <c r="K260" s="13">
        <v>400</v>
      </c>
      <c r="L260" s="13"/>
      <c r="M260" s="13">
        <v>400</v>
      </c>
      <c r="N260" s="13"/>
      <c r="O260" s="13">
        <v>400</v>
      </c>
      <c r="P260" s="13"/>
      <c r="Q260" s="13">
        <v>400</v>
      </c>
      <c r="R260" s="13"/>
      <c r="S260" s="13">
        <v>400</v>
      </c>
      <c r="T260" s="13"/>
      <c r="U260" s="13">
        <v>400</v>
      </c>
      <c r="V260" s="13"/>
      <c r="W260" s="13">
        <v>400</v>
      </c>
      <c r="X260" s="13"/>
      <c r="Y260" s="13">
        <v>400</v>
      </c>
      <c r="Z260" s="13"/>
      <c r="AA260" s="13">
        <v>400</v>
      </c>
      <c r="AB260" s="13"/>
      <c r="AC260" s="13">
        <v>400</v>
      </c>
      <c r="AD260" s="13"/>
      <c r="AE260" s="13">
        <v>400</v>
      </c>
      <c r="AF260" s="13"/>
      <c r="AG260" s="13">
        <v>400</v>
      </c>
      <c r="AH260" s="13">
        <v>500</v>
      </c>
      <c r="AI260">
        <v>400</v>
      </c>
      <c r="AK260">
        <v>400</v>
      </c>
      <c r="AM260" s="47" t="s">
        <v>500</v>
      </c>
      <c r="AN260" s="48"/>
      <c r="AO260" s="48">
        <v>1</v>
      </c>
      <c r="AP260" s="27">
        <v>500</v>
      </c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8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8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8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8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8"/>
    </row>
    <row r="261" spans="1:281" x14ac:dyDescent="0.3">
      <c r="A261" s="21" t="s">
        <v>1091</v>
      </c>
      <c r="B261" s="8" t="s">
        <v>29</v>
      </c>
      <c r="C261" s="9"/>
      <c r="D261" s="33">
        <v>66</v>
      </c>
      <c r="E261" s="34"/>
      <c r="F261" s="34"/>
      <c r="G261" s="34"/>
      <c r="H261" s="25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M261" s="47"/>
      <c r="AN261" s="48"/>
      <c r="AO261" s="48"/>
      <c r="AP261" s="49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8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8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8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8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8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</row>
    <row r="262" spans="1:281" x14ac:dyDescent="0.3">
      <c r="A262" s="8" t="s">
        <v>1092</v>
      </c>
      <c r="B262" s="8" t="s">
        <v>68</v>
      </c>
      <c r="C262" s="8"/>
      <c r="D262" s="10">
        <v>67</v>
      </c>
      <c r="E262" s="11" t="s">
        <v>1093</v>
      </c>
      <c r="F262" s="11"/>
      <c r="G262" s="11"/>
      <c r="H262" s="19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M262" s="18"/>
    </row>
    <row r="263" spans="1:281" x14ac:dyDescent="0.3">
      <c r="A263" s="8" t="s">
        <v>1094</v>
      </c>
      <c r="B263" s="8" t="s">
        <v>139</v>
      </c>
      <c r="C263" s="8"/>
      <c r="D263" s="10">
        <v>67</v>
      </c>
      <c r="E263" s="11"/>
      <c r="F263" s="11"/>
      <c r="G263" s="11"/>
      <c r="H263" s="12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M263" s="18"/>
    </row>
    <row r="264" spans="1:281" x14ac:dyDescent="0.3">
      <c r="A264" s="8" t="s">
        <v>1095</v>
      </c>
      <c r="B264" s="8" t="s">
        <v>139</v>
      </c>
      <c r="C264" s="8"/>
      <c r="D264" s="10">
        <v>67</v>
      </c>
      <c r="E264" s="11" t="s">
        <v>1096</v>
      </c>
      <c r="F264" s="11"/>
      <c r="G264" s="11"/>
      <c r="H264" s="12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M264" s="18"/>
    </row>
    <row r="265" spans="1:281" x14ac:dyDescent="0.3">
      <c r="A265" s="21" t="s">
        <v>1097</v>
      </c>
      <c r="B265" s="8" t="s">
        <v>29</v>
      </c>
      <c r="C265" s="9"/>
      <c r="D265" s="33">
        <v>67</v>
      </c>
      <c r="E265" s="34" t="s">
        <v>1098</v>
      </c>
      <c r="F265" s="34"/>
      <c r="G265" s="34"/>
      <c r="H265" s="25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M265" s="47"/>
      <c r="AN265" s="48"/>
      <c r="AO265" s="48"/>
      <c r="AP265" s="49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8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8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8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8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8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8"/>
    </row>
    <row r="266" spans="1:281" x14ac:dyDescent="0.3">
      <c r="A266" s="11" t="s">
        <v>1099</v>
      </c>
      <c r="B266" s="8" t="s">
        <v>25</v>
      </c>
      <c r="C266" s="8"/>
      <c r="D266" s="10">
        <v>68</v>
      </c>
      <c r="E266" s="11" t="s">
        <v>1100</v>
      </c>
      <c r="F266" s="11"/>
      <c r="G266" s="11"/>
      <c r="H266" s="25" t="s">
        <v>1101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M266" s="18"/>
    </row>
    <row r="267" spans="1:281" x14ac:dyDescent="0.3">
      <c r="A267" s="8" t="s">
        <v>1102</v>
      </c>
      <c r="B267" s="8" t="s">
        <v>105</v>
      </c>
      <c r="C267" s="8"/>
      <c r="D267" s="10">
        <v>68</v>
      </c>
      <c r="E267" s="11" t="s">
        <v>1103</v>
      </c>
      <c r="F267" s="11" t="s">
        <v>1104</v>
      </c>
      <c r="G267" s="11"/>
      <c r="H267" s="12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M267" s="18"/>
    </row>
    <row r="268" spans="1:281" x14ac:dyDescent="0.3">
      <c r="A268" s="8" t="s">
        <v>67</v>
      </c>
      <c r="B268" s="8" t="s">
        <v>68</v>
      </c>
      <c r="C268" s="8" t="s">
        <v>1105</v>
      </c>
      <c r="D268" s="10">
        <v>69</v>
      </c>
      <c r="E268" s="11" t="s">
        <v>1106</v>
      </c>
      <c r="F268" s="11" t="s">
        <v>1107</v>
      </c>
      <c r="G268" s="11" t="s">
        <v>1108</v>
      </c>
      <c r="H268" s="25" t="s">
        <v>1109</v>
      </c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13">
        <v>200</v>
      </c>
      <c r="T268" s="30"/>
      <c r="U268" s="13">
        <v>200</v>
      </c>
      <c r="V268" s="30"/>
      <c r="W268" s="13">
        <v>200</v>
      </c>
      <c r="X268" s="30"/>
      <c r="Y268" s="13">
        <v>200</v>
      </c>
      <c r="Z268" s="30"/>
      <c r="AA268" s="13">
        <v>200</v>
      </c>
      <c r="AB268" s="30"/>
      <c r="AC268" s="13">
        <v>200</v>
      </c>
      <c r="AD268" s="30"/>
      <c r="AE268" s="30"/>
      <c r="AF268" s="30"/>
      <c r="AG268" s="30"/>
      <c r="AH268" s="13">
        <v>200</v>
      </c>
      <c r="AJ268">
        <v>200</v>
      </c>
      <c r="AL268">
        <v>200</v>
      </c>
      <c r="AM268" s="18"/>
      <c r="AO268" s="7">
        <v>1</v>
      </c>
    </row>
    <row r="269" spans="1:281" x14ac:dyDescent="0.3">
      <c r="A269" s="8" t="s">
        <v>1110</v>
      </c>
      <c r="B269" s="8" t="s">
        <v>68</v>
      </c>
      <c r="C269" s="8"/>
      <c r="D269" s="10">
        <v>69</v>
      </c>
      <c r="E269" s="11" t="s">
        <v>1111</v>
      </c>
      <c r="F269" s="11"/>
      <c r="G269" s="11"/>
      <c r="H269" s="12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M269" s="18"/>
    </row>
    <row r="270" spans="1:281" x14ac:dyDescent="0.3">
      <c r="A270" s="8" t="s">
        <v>1112</v>
      </c>
      <c r="B270" s="8" t="s">
        <v>394</v>
      </c>
      <c r="C270" s="8"/>
      <c r="D270" s="46">
        <v>69</v>
      </c>
      <c r="E270" s="11" t="s">
        <v>1113</v>
      </c>
      <c r="F270" s="11"/>
      <c r="G270" s="11"/>
      <c r="H270" s="12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M270" s="18"/>
    </row>
    <row r="271" spans="1:281" x14ac:dyDescent="0.3">
      <c r="A271" s="8" t="s">
        <v>1114</v>
      </c>
      <c r="B271" s="8" t="s">
        <v>394</v>
      </c>
      <c r="C271" s="9" t="s">
        <v>1115</v>
      </c>
      <c r="D271" s="46">
        <v>69</v>
      </c>
      <c r="E271" s="11" t="s">
        <v>1116</v>
      </c>
      <c r="F271" s="11"/>
      <c r="G271" s="11"/>
      <c r="H271" s="26" t="s">
        <v>1117</v>
      </c>
      <c r="I271" s="13">
        <v>350</v>
      </c>
      <c r="J271" s="13"/>
      <c r="K271" s="13">
        <v>350</v>
      </c>
      <c r="L271" s="13"/>
      <c r="M271" s="13">
        <v>350</v>
      </c>
      <c r="N271" s="13"/>
      <c r="O271" s="13">
        <v>350</v>
      </c>
      <c r="P271" s="13"/>
      <c r="Q271" s="13">
        <v>350</v>
      </c>
      <c r="R271" s="13"/>
      <c r="S271" s="13">
        <v>350</v>
      </c>
      <c r="T271" s="13"/>
      <c r="U271" s="13">
        <v>350</v>
      </c>
      <c r="V271" s="13"/>
      <c r="W271" s="13">
        <v>350</v>
      </c>
      <c r="X271" s="13"/>
      <c r="Y271" s="13">
        <v>350</v>
      </c>
      <c r="Z271" s="13"/>
      <c r="AA271" s="13">
        <v>350</v>
      </c>
      <c r="AB271" s="13"/>
      <c r="AC271" s="13">
        <v>350</v>
      </c>
      <c r="AD271" s="13"/>
      <c r="AE271" s="13">
        <v>350</v>
      </c>
      <c r="AF271" s="13"/>
      <c r="AG271" s="13">
        <v>350</v>
      </c>
      <c r="AH271" s="13"/>
      <c r="AI271">
        <v>350</v>
      </c>
      <c r="AK271">
        <v>350</v>
      </c>
      <c r="AM271" s="18"/>
      <c r="AO271" s="7">
        <v>1</v>
      </c>
    </row>
    <row r="272" spans="1:281" x14ac:dyDescent="0.3">
      <c r="A272" s="8" t="s">
        <v>1118</v>
      </c>
      <c r="B272" s="8" t="s">
        <v>394</v>
      </c>
      <c r="C272" s="9"/>
      <c r="D272" s="46">
        <v>69</v>
      </c>
      <c r="E272" s="11" t="s">
        <v>1119</v>
      </c>
      <c r="F272" s="11"/>
      <c r="G272" s="11"/>
      <c r="H272" s="12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M272" s="18"/>
    </row>
    <row r="273" spans="1:42" x14ac:dyDescent="0.3">
      <c r="A273" s="31" t="s">
        <v>1120</v>
      </c>
      <c r="B273" s="8" t="s">
        <v>25</v>
      </c>
      <c r="C273" s="8"/>
      <c r="D273" s="10">
        <v>70</v>
      </c>
      <c r="E273" s="11" t="s">
        <v>1121</v>
      </c>
      <c r="F273" s="11"/>
      <c r="G273" s="11"/>
      <c r="H273" s="25" t="s">
        <v>1122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M273" s="18"/>
    </row>
    <row r="274" spans="1:42" x14ac:dyDescent="0.3">
      <c r="A274" s="11" t="s">
        <v>1123</v>
      </c>
      <c r="B274" s="8" t="s">
        <v>25</v>
      </c>
      <c r="C274" s="8"/>
      <c r="D274" s="10">
        <v>70</v>
      </c>
      <c r="E274" s="11" t="s">
        <v>1124</v>
      </c>
      <c r="F274" s="11"/>
      <c r="G274" s="11"/>
      <c r="H274" s="19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M274" s="18"/>
    </row>
    <row r="275" spans="1:42" x14ac:dyDescent="0.3">
      <c r="A275" s="11" t="s">
        <v>1125</v>
      </c>
      <c r="B275" s="8" t="s">
        <v>25</v>
      </c>
      <c r="C275" s="9" t="s">
        <v>1126</v>
      </c>
      <c r="D275" s="10">
        <v>70</v>
      </c>
      <c r="E275" s="11"/>
      <c r="F275" s="11"/>
      <c r="G275" s="11"/>
      <c r="H275" s="19"/>
      <c r="I275" s="13">
        <v>500</v>
      </c>
      <c r="J275" s="13"/>
      <c r="K275" s="13">
        <v>500</v>
      </c>
      <c r="L275" s="13"/>
      <c r="M275" s="13">
        <v>500</v>
      </c>
      <c r="N275" s="13"/>
      <c r="O275" s="13">
        <v>500</v>
      </c>
      <c r="P275" s="13"/>
      <c r="Q275" s="13">
        <v>500</v>
      </c>
      <c r="R275" s="13"/>
      <c r="S275" s="13">
        <v>500</v>
      </c>
      <c r="T275" s="13"/>
      <c r="U275" s="13">
        <v>500</v>
      </c>
      <c r="V275" s="13"/>
      <c r="W275" s="13">
        <v>500</v>
      </c>
      <c r="X275" s="13"/>
      <c r="Y275" s="13">
        <v>500</v>
      </c>
      <c r="Z275" s="13"/>
      <c r="AA275" s="13">
        <v>500</v>
      </c>
      <c r="AB275" s="13"/>
      <c r="AC275" s="13">
        <v>500</v>
      </c>
      <c r="AD275" s="13"/>
      <c r="AE275" s="13">
        <v>500</v>
      </c>
      <c r="AF275" s="13"/>
      <c r="AG275" s="13">
        <v>500</v>
      </c>
      <c r="AH275" s="13"/>
      <c r="AI275">
        <v>500</v>
      </c>
      <c r="AK275">
        <v>500</v>
      </c>
      <c r="AM275" s="18"/>
      <c r="AO275" s="7">
        <v>1</v>
      </c>
    </row>
    <row r="276" spans="1:42" x14ac:dyDescent="0.3">
      <c r="A276" s="11" t="s">
        <v>1127</v>
      </c>
      <c r="B276" s="8" t="s">
        <v>25</v>
      </c>
      <c r="C276" s="8"/>
      <c r="D276" s="10">
        <v>70</v>
      </c>
      <c r="E276" s="11" t="s">
        <v>1128</v>
      </c>
      <c r="F276" s="11"/>
      <c r="G276" s="11"/>
      <c r="H276" s="19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M276" s="18"/>
    </row>
    <row r="277" spans="1:42" x14ac:dyDescent="0.3">
      <c r="A277" s="11" t="s">
        <v>1129</v>
      </c>
      <c r="B277" s="8" t="s">
        <v>25</v>
      </c>
      <c r="C277" s="8"/>
      <c r="D277" s="10">
        <v>70</v>
      </c>
      <c r="E277" s="11" t="s">
        <v>1130</v>
      </c>
      <c r="F277" s="11"/>
      <c r="G277" s="11"/>
      <c r="H277" s="19" t="s">
        <v>469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M277" s="18"/>
    </row>
    <row r="278" spans="1:42" x14ac:dyDescent="0.3">
      <c r="A278" s="8" t="s">
        <v>1131</v>
      </c>
      <c r="B278" s="8" t="s">
        <v>105</v>
      </c>
      <c r="C278" s="8"/>
      <c r="D278" s="10">
        <v>70</v>
      </c>
      <c r="E278" s="11" t="s">
        <v>1132</v>
      </c>
      <c r="F278" s="31" t="s">
        <v>1133</v>
      </c>
      <c r="G278" s="11"/>
      <c r="H278" s="12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M278" s="18"/>
    </row>
    <row r="279" spans="1:42" x14ac:dyDescent="0.3">
      <c r="A279" s="8" t="s">
        <v>1134</v>
      </c>
      <c r="B279" s="8" t="s">
        <v>105</v>
      </c>
      <c r="C279" s="8"/>
      <c r="D279" s="10">
        <v>70</v>
      </c>
      <c r="E279" s="11" t="s">
        <v>1135</v>
      </c>
      <c r="F279" s="31"/>
      <c r="G279" s="11"/>
      <c r="H279" s="12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M279" s="18"/>
    </row>
    <row r="280" spans="1:42" x14ac:dyDescent="0.3">
      <c r="A280" s="8" t="s">
        <v>200</v>
      </c>
      <c r="B280" s="8" t="s">
        <v>105</v>
      </c>
      <c r="C280" s="8"/>
      <c r="D280" s="10">
        <v>70</v>
      </c>
      <c r="E280" s="11" t="s">
        <v>1132</v>
      </c>
      <c r="F280" s="31"/>
      <c r="G280" s="11"/>
      <c r="H280" s="12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13">
        <v>1000</v>
      </c>
      <c r="AM280" s="18" t="s">
        <v>500</v>
      </c>
      <c r="AP280" s="27">
        <v>1000</v>
      </c>
    </row>
    <row r="281" spans="1:42" x14ac:dyDescent="0.3">
      <c r="A281" s="8" t="s">
        <v>1136</v>
      </c>
      <c r="B281" s="8" t="s">
        <v>68</v>
      </c>
      <c r="C281" s="9" t="s">
        <v>1137</v>
      </c>
      <c r="D281" s="10">
        <v>71</v>
      </c>
      <c r="E281" s="11" t="s">
        <v>1138</v>
      </c>
      <c r="F281" s="11"/>
      <c r="G281" s="11"/>
      <c r="H281" s="12"/>
      <c r="I281" s="13">
        <v>330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M281" s="18"/>
    </row>
    <row r="282" spans="1:42" x14ac:dyDescent="0.3">
      <c r="A282" s="8" t="s">
        <v>1139</v>
      </c>
      <c r="B282" s="8" t="s">
        <v>139</v>
      </c>
      <c r="C282" s="8"/>
      <c r="D282" s="10">
        <v>71</v>
      </c>
      <c r="E282" s="11"/>
      <c r="F282" s="11"/>
      <c r="G282" s="11"/>
      <c r="H282" s="12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M282" s="18"/>
    </row>
    <row r="283" spans="1:42" x14ac:dyDescent="0.3">
      <c r="A283" s="8" t="s">
        <v>1140</v>
      </c>
      <c r="B283" s="8" t="s">
        <v>394</v>
      </c>
      <c r="C283" s="9" t="s">
        <v>1141</v>
      </c>
      <c r="D283" s="46">
        <v>71</v>
      </c>
      <c r="E283" s="11"/>
      <c r="F283" s="11"/>
      <c r="G283" s="11"/>
      <c r="H283" s="12"/>
      <c r="I283" s="13">
        <v>200</v>
      </c>
      <c r="J283" s="13"/>
      <c r="K283" s="13">
        <v>200</v>
      </c>
      <c r="L283" s="13"/>
      <c r="M283" s="13">
        <v>200</v>
      </c>
      <c r="N283" s="13"/>
      <c r="O283" s="13">
        <v>200</v>
      </c>
      <c r="P283" s="13"/>
      <c r="Q283" s="13">
        <v>200</v>
      </c>
      <c r="R283" s="13"/>
      <c r="S283" s="13">
        <v>200</v>
      </c>
      <c r="T283" s="13"/>
      <c r="U283" s="13">
        <v>200</v>
      </c>
      <c r="V283" s="13"/>
      <c r="W283" s="13">
        <v>200</v>
      </c>
      <c r="X283" s="13"/>
      <c r="Y283" s="13">
        <v>200</v>
      </c>
      <c r="Z283" s="13"/>
      <c r="AA283" s="13">
        <v>200</v>
      </c>
      <c r="AB283" s="13"/>
      <c r="AC283" s="13">
        <v>200</v>
      </c>
      <c r="AD283" s="13"/>
      <c r="AE283" s="13">
        <v>200</v>
      </c>
      <c r="AF283" s="13"/>
      <c r="AG283" s="13">
        <v>200</v>
      </c>
      <c r="AH283" s="13"/>
      <c r="AI283">
        <v>200</v>
      </c>
      <c r="AK283">
        <v>200</v>
      </c>
      <c r="AM283" s="18"/>
      <c r="AO283" s="7">
        <v>1</v>
      </c>
    </row>
    <row r="284" spans="1:42" x14ac:dyDescent="0.3">
      <c r="A284" s="8" t="s">
        <v>1142</v>
      </c>
      <c r="B284" s="8" t="s">
        <v>25</v>
      </c>
      <c r="C284" s="8"/>
      <c r="D284" s="10">
        <v>72</v>
      </c>
      <c r="E284" s="11" t="s">
        <v>1143</v>
      </c>
      <c r="F284" s="11"/>
      <c r="G284" s="11"/>
      <c r="H284" s="19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M284" s="18"/>
    </row>
    <row r="285" spans="1:42" x14ac:dyDescent="0.3">
      <c r="A285" s="8" t="s">
        <v>1144</v>
      </c>
      <c r="B285" s="8" t="s">
        <v>25</v>
      </c>
      <c r="C285" s="8"/>
      <c r="D285" s="10">
        <v>72</v>
      </c>
      <c r="E285" s="11" t="s">
        <v>1145</v>
      </c>
      <c r="F285" s="11"/>
      <c r="G285" s="11"/>
      <c r="H285" s="19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M285" s="18"/>
    </row>
    <row r="286" spans="1:42" x14ac:dyDescent="0.3">
      <c r="A286" s="8" t="s">
        <v>1146</v>
      </c>
      <c r="B286" s="8" t="s">
        <v>105</v>
      </c>
      <c r="C286" s="8"/>
      <c r="D286" s="10">
        <v>72</v>
      </c>
      <c r="E286" s="11" t="s">
        <v>1147</v>
      </c>
      <c r="F286" s="11"/>
      <c r="G286" s="11"/>
      <c r="H286" s="12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M286" s="18"/>
    </row>
    <row r="287" spans="1:42" x14ac:dyDescent="0.3">
      <c r="A287" s="8" t="s">
        <v>1148</v>
      </c>
      <c r="B287" s="8" t="s">
        <v>105</v>
      </c>
      <c r="C287" s="8"/>
      <c r="D287" s="10">
        <v>72</v>
      </c>
      <c r="E287" s="11" t="s">
        <v>1149</v>
      </c>
      <c r="F287" s="11"/>
      <c r="G287" s="11"/>
      <c r="H287" s="12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M287" s="18"/>
    </row>
    <row r="288" spans="1:42" x14ac:dyDescent="0.3">
      <c r="A288" s="8" t="s">
        <v>1150</v>
      </c>
      <c r="B288" s="8" t="s">
        <v>68</v>
      </c>
      <c r="C288" s="8" t="s">
        <v>1151</v>
      </c>
      <c r="D288" s="10">
        <v>73</v>
      </c>
      <c r="E288" s="11" t="s">
        <v>1152</v>
      </c>
      <c r="F288" s="11"/>
      <c r="G288" s="11"/>
      <c r="H288" s="12" t="s">
        <v>1153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M288" s="18"/>
    </row>
    <row r="289" spans="1:42" x14ac:dyDescent="0.3">
      <c r="A289" s="8" t="s">
        <v>1154</v>
      </c>
      <c r="B289" s="8" t="s">
        <v>139</v>
      </c>
      <c r="C289" s="9" t="s">
        <v>1155</v>
      </c>
      <c r="D289" s="10">
        <v>73</v>
      </c>
      <c r="E289" s="11" t="s">
        <v>1156</v>
      </c>
      <c r="F289" s="11"/>
      <c r="G289" s="11"/>
      <c r="H289" s="25" t="s">
        <v>1157</v>
      </c>
      <c r="I289" s="13">
        <v>350</v>
      </c>
      <c r="J289" s="13"/>
      <c r="K289" s="13">
        <v>350</v>
      </c>
      <c r="L289" s="13"/>
      <c r="M289" s="13">
        <v>350</v>
      </c>
      <c r="N289" s="13"/>
      <c r="O289" s="13">
        <v>350</v>
      </c>
      <c r="P289" s="13"/>
      <c r="Q289" s="13">
        <v>350</v>
      </c>
      <c r="R289" s="13"/>
      <c r="S289" s="13">
        <v>350</v>
      </c>
      <c r="T289" s="13"/>
      <c r="U289" s="13">
        <v>350</v>
      </c>
      <c r="V289" s="13"/>
      <c r="W289" s="13">
        <v>350</v>
      </c>
      <c r="X289" s="13"/>
      <c r="Y289" s="13">
        <v>350</v>
      </c>
      <c r="Z289" s="13"/>
      <c r="AA289" s="13">
        <v>350</v>
      </c>
      <c r="AB289" s="13"/>
      <c r="AC289" s="13">
        <v>350</v>
      </c>
      <c r="AD289" s="13"/>
      <c r="AE289" s="13">
        <v>350</v>
      </c>
      <c r="AF289" s="13"/>
      <c r="AG289" s="13">
        <v>350</v>
      </c>
      <c r="AH289" s="13"/>
      <c r="AI289">
        <v>350</v>
      </c>
      <c r="AK289">
        <v>350</v>
      </c>
      <c r="AM289" s="18"/>
      <c r="AO289" s="7">
        <v>1</v>
      </c>
    </row>
    <row r="290" spans="1:42" x14ac:dyDescent="0.3">
      <c r="A290" s="8" t="s">
        <v>1158</v>
      </c>
      <c r="B290" s="8" t="s">
        <v>394</v>
      </c>
      <c r="C290" s="9" t="s">
        <v>1159</v>
      </c>
      <c r="D290" s="46">
        <v>73</v>
      </c>
      <c r="E290" s="11" t="s">
        <v>1160</v>
      </c>
      <c r="F290" s="11"/>
      <c r="G290" s="11"/>
      <c r="H290" s="12"/>
      <c r="I290" s="13">
        <v>200</v>
      </c>
      <c r="J290" s="13"/>
      <c r="K290" s="13">
        <v>200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M290" s="18" t="s">
        <v>1161</v>
      </c>
    </row>
    <row r="291" spans="1:42" x14ac:dyDescent="0.3">
      <c r="A291" s="11" t="s">
        <v>98</v>
      </c>
      <c r="B291" s="8" t="s">
        <v>25</v>
      </c>
      <c r="C291" s="9" t="s">
        <v>1162</v>
      </c>
      <c r="D291" s="10">
        <v>74</v>
      </c>
      <c r="E291" s="11" t="s">
        <v>1163</v>
      </c>
      <c r="F291" s="11" t="s">
        <v>1164</v>
      </c>
      <c r="G291" s="11"/>
      <c r="H291" s="25" t="s">
        <v>1165</v>
      </c>
      <c r="I291" s="13">
        <v>250</v>
      </c>
      <c r="J291" s="13"/>
      <c r="K291" s="13">
        <v>250</v>
      </c>
      <c r="L291" s="13"/>
      <c r="M291" s="13">
        <v>250</v>
      </c>
      <c r="N291" s="13"/>
      <c r="O291" s="13">
        <v>250</v>
      </c>
      <c r="P291" s="13"/>
      <c r="Q291" s="13">
        <v>250</v>
      </c>
      <c r="R291" s="13"/>
      <c r="S291" s="13">
        <v>250</v>
      </c>
      <c r="T291" s="13"/>
      <c r="U291" s="13">
        <v>250</v>
      </c>
      <c r="V291" s="13"/>
      <c r="W291" s="13">
        <v>250</v>
      </c>
      <c r="X291" s="13"/>
      <c r="Y291" s="13">
        <v>250</v>
      </c>
      <c r="Z291" s="13"/>
      <c r="AA291" s="13">
        <v>250</v>
      </c>
      <c r="AB291" s="13"/>
      <c r="AC291" s="13">
        <v>250</v>
      </c>
      <c r="AD291" s="13"/>
      <c r="AE291" s="13">
        <v>250</v>
      </c>
      <c r="AF291" s="13"/>
      <c r="AG291" s="13">
        <v>250</v>
      </c>
      <c r="AH291" s="13">
        <v>500</v>
      </c>
      <c r="AI291">
        <v>250</v>
      </c>
      <c r="AJ291">
        <v>500</v>
      </c>
      <c r="AK291">
        <v>250</v>
      </c>
      <c r="AM291" s="18" t="s">
        <v>500</v>
      </c>
      <c r="AO291" s="7">
        <v>1</v>
      </c>
      <c r="AP291" s="27">
        <v>500</v>
      </c>
    </row>
    <row r="292" spans="1:42" x14ac:dyDescent="0.3">
      <c r="A292" s="11" t="s">
        <v>1166</v>
      </c>
      <c r="B292" s="8" t="s">
        <v>25</v>
      </c>
      <c r="C292" s="8"/>
      <c r="D292" s="10">
        <v>74</v>
      </c>
      <c r="E292" s="11" t="s">
        <v>1167</v>
      </c>
      <c r="F292" s="11"/>
      <c r="G292" s="11"/>
      <c r="H292" s="12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M292" s="18"/>
    </row>
    <row r="293" spans="1:42" x14ac:dyDescent="0.3">
      <c r="A293" s="11" t="s">
        <v>1168</v>
      </c>
      <c r="B293" s="8" t="s">
        <v>25</v>
      </c>
      <c r="C293" s="8"/>
      <c r="D293" s="10">
        <v>74</v>
      </c>
      <c r="E293" s="11" t="s">
        <v>1169</v>
      </c>
      <c r="F293" s="11"/>
      <c r="G293" s="11"/>
      <c r="H293" s="25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M293" s="18"/>
    </row>
    <row r="294" spans="1:42" x14ac:dyDescent="0.3">
      <c r="A294" s="11" t="s">
        <v>1170</v>
      </c>
      <c r="B294" s="8" t="s">
        <v>25</v>
      </c>
      <c r="C294" s="8"/>
      <c r="D294" s="10">
        <v>74</v>
      </c>
      <c r="E294" s="11" t="s">
        <v>1171</v>
      </c>
      <c r="F294" s="11"/>
      <c r="G294" s="11"/>
      <c r="H294" s="25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M294" s="18"/>
    </row>
    <row r="295" spans="1:42" x14ac:dyDescent="0.3">
      <c r="A295" s="8" t="s">
        <v>1172</v>
      </c>
      <c r="B295" s="8" t="s">
        <v>68</v>
      </c>
      <c r="C295" s="8"/>
      <c r="D295" s="10">
        <v>75</v>
      </c>
      <c r="E295" s="11" t="s">
        <v>1173</v>
      </c>
      <c r="F295" s="11"/>
      <c r="G295" s="11"/>
      <c r="H295" s="26" t="s">
        <v>1174</v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M295" s="18"/>
    </row>
    <row r="296" spans="1:42" x14ac:dyDescent="0.3">
      <c r="A296" s="8" t="s">
        <v>1175</v>
      </c>
      <c r="B296" s="8" t="s">
        <v>68</v>
      </c>
      <c r="C296" s="8"/>
      <c r="D296" s="10">
        <v>75</v>
      </c>
      <c r="E296" s="11" t="s">
        <v>1176</v>
      </c>
      <c r="F296" s="11"/>
      <c r="G296" s="11"/>
      <c r="H296" s="16" t="s">
        <v>1177</v>
      </c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M296" s="18"/>
    </row>
    <row r="297" spans="1:42" x14ac:dyDescent="0.3">
      <c r="A297" s="8" t="s">
        <v>1178</v>
      </c>
      <c r="B297" s="8" t="s">
        <v>68</v>
      </c>
      <c r="C297" s="8"/>
      <c r="D297" s="10">
        <v>75</v>
      </c>
      <c r="E297" s="11" t="s">
        <v>1179</v>
      </c>
      <c r="F297" s="11"/>
      <c r="G297" s="11"/>
      <c r="H297" s="19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M297" s="18"/>
    </row>
    <row r="298" spans="1:42" x14ac:dyDescent="0.3">
      <c r="A298" s="8" t="s">
        <v>1180</v>
      </c>
      <c r="B298" s="8" t="s">
        <v>139</v>
      </c>
      <c r="C298" s="8"/>
      <c r="D298" s="10">
        <v>75</v>
      </c>
      <c r="E298" s="11" t="s">
        <v>1181</v>
      </c>
      <c r="F298" s="11"/>
      <c r="G298" s="11"/>
      <c r="H298" s="25" t="s">
        <v>1182</v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M298" s="18"/>
    </row>
    <row r="299" spans="1:42" x14ac:dyDescent="0.3">
      <c r="A299" s="8" t="s">
        <v>1183</v>
      </c>
      <c r="B299" s="8" t="s">
        <v>139</v>
      </c>
      <c r="C299" s="8"/>
      <c r="D299" s="10">
        <v>75</v>
      </c>
      <c r="E299" s="11"/>
      <c r="F299" s="11"/>
      <c r="G299" s="11"/>
      <c r="H299" s="25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M299" s="18"/>
    </row>
    <row r="300" spans="1:42" x14ac:dyDescent="0.3">
      <c r="A300" s="8" t="s">
        <v>1184</v>
      </c>
      <c r="B300" s="8" t="s">
        <v>139</v>
      </c>
      <c r="C300" s="8"/>
      <c r="D300" s="10">
        <v>75</v>
      </c>
      <c r="E300" s="11" t="s">
        <v>1185</v>
      </c>
      <c r="F300" s="11"/>
      <c r="G300" s="11"/>
      <c r="H300" s="25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M300" s="18"/>
    </row>
    <row r="301" spans="1:42" x14ac:dyDescent="0.3">
      <c r="A301" s="8" t="s">
        <v>1186</v>
      </c>
      <c r="B301" s="8" t="s">
        <v>145</v>
      </c>
      <c r="C301" s="8" t="s">
        <v>506</v>
      </c>
      <c r="D301" s="10">
        <v>75</v>
      </c>
      <c r="E301" s="11" t="s">
        <v>1187</v>
      </c>
      <c r="F301" s="11" t="s">
        <v>1188</v>
      </c>
      <c r="G301" s="11"/>
      <c r="H301" s="25" t="s">
        <v>1189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M301" s="18"/>
    </row>
    <row r="302" spans="1:42" x14ac:dyDescent="0.3">
      <c r="A302" s="8" t="s">
        <v>1190</v>
      </c>
      <c r="B302" s="8" t="s">
        <v>145</v>
      </c>
      <c r="C302" s="8"/>
      <c r="D302" s="10">
        <v>75</v>
      </c>
      <c r="E302" s="11"/>
      <c r="F302" s="11"/>
      <c r="G302" s="11"/>
      <c r="H302" s="12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M302" s="18"/>
    </row>
    <row r="303" spans="1:42" x14ac:dyDescent="0.3">
      <c r="A303" s="15" t="s">
        <v>443</v>
      </c>
      <c r="B303" s="8" t="s">
        <v>139</v>
      </c>
      <c r="C303" s="8"/>
      <c r="D303" s="10">
        <v>76</v>
      </c>
      <c r="E303" s="11"/>
      <c r="F303" s="11"/>
      <c r="G303" s="11"/>
      <c r="H303" s="12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M303" s="18"/>
    </row>
    <row r="304" spans="1:42" x14ac:dyDescent="0.3">
      <c r="A304" s="15" t="s">
        <v>144</v>
      </c>
      <c r="B304" s="8" t="s">
        <v>105</v>
      </c>
      <c r="C304" s="8"/>
      <c r="D304" s="10">
        <v>76</v>
      </c>
      <c r="E304" s="11" t="s">
        <v>1191</v>
      </c>
      <c r="F304" s="11"/>
      <c r="G304" s="11"/>
      <c r="H304" s="12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M304" s="18"/>
    </row>
    <row r="305" spans="1:281" x14ac:dyDescent="0.3">
      <c r="A305" s="8" t="s">
        <v>1192</v>
      </c>
      <c r="B305" s="8" t="s">
        <v>105</v>
      </c>
      <c r="C305" s="8"/>
      <c r="D305" s="10">
        <v>76</v>
      </c>
      <c r="E305" s="11" t="s">
        <v>1193</v>
      </c>
      <c r="F305" s="11"/>
      <c r="G305" s="11"/>
      <c r="H305" s="25" t="s">
        <v>1194</v>
      </c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M305" s="18"/>
    </row>
    <row r="306" spans="1:281" x14ac:dyDescent="0.3">
      <c r="A306" s="8" t="s">
        <v>286</v>
      </c>
      <c r="B306" s="8" t="s">
        <v>68</v>
      </c>
      <c r="C306" s="9" t="s">
        <v>1195</v>
      </c>
      <c r="D306" s="10">
        <v>77</v>
      </c>
      <c r="E306" s="11" t="s">
        <v>1196</v>
      </c>
      <c r="F306" s="11" t="s">
        <v>1197</v>
      </c>
      <c r="G306" s="11"/>
      <c r="H306" s="12"/>
      <c r="I306" s="13">
        <v>350</v>
      </c>
      <c r="J306" s="13"/>
      <c r="K306" s="13">
        <v>350</v>
      </c>
      <c r="L306" s="13"/>
      <c r="M306" s="13">
        <v>350</v>
      </c>
      <c r="N306" s="13"/>
      <c r="O306" s="13">
        <v>350</v>
      </c>
      <c r="P306" s="13"/>
      <c r="Q306" s="13">
        <v>350</v>
      </c>
      <c r="R306" s="13"/>
      <c r="S306" s="13">
        <v>350</v>
      </c>
      <c r="T306" s="13"/>
      <c r="U306" s="13">
        <v>350</v>
      </c>
      <c r="V306" s="13"/>
      <c r="W306" s="13">
        <v>350</v>
      </c>
      <c r="X306" s="13"/>
      <c r="Y306" s="13">
        <v>350</v>
      </c>
      <c r="Z306" s="13"/>
      <c r="AA306" s="13">
        <v>350</v>
      </c>
      <c r="AB306" s="13"/>
      <c r="AC306" s="13">
        <v>350</v>
      </c>
      <c r="AD306" s="13"/>
      <c r="AE306" s="13">
        <v>350</v>
      </c>
      <c r="AF306" s="13"/>
      <c r="AG306" s="13">
        <v>350</v>
      </c>
      <c r="AH306" s="13"/>
      <c r="AI306">
        <v>350</v>
      </c>
      <c r="AJ306">
        <v>170</v>
      </c>
      <c r="AK306">
        <v>350</v>
      </c>
      <c r="AM306" s="18"/>
      <c r="AO306" s="7">
        <v>1</v>
      </c>
    </row>
    <row r="307" spans="1:281" x14ac:dyDescent="0.3">
      <c r="A307" s="11" t="s">
        <v>1198</v>
      </c>
      <c r="B307" s="8" t="s">
        <v>25</v>
      </c>
      <c r="C307" s="8"/>
      <c r="D307" s="10">
        <v>77</v>
      </c>
      <c r="E307" s="11" t="s">
        <v>1199</v>
      </c>
      <c r="F307" s="11"/>
      <c r="G307" s="11"/>
      <c r="H307" s="25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M307" s="18"/>
    </row>
    <row r="308" spans="1:281" x14ac:dyDescent="0.3">
      <c r="A308" s="8" t="s">
        <v>218</v>
      </c>
      <c r="B308" s="8" t="s">
        <v>219</v>
      </c>
      <c r="C308" s="8" t="s">
        <v>506</v>
      </c>
      <c r="D308" s="10">
        <v>77</v>
      </c>
      <c r="E308" s="11" t="s">
        <v>1200</v>
      </c>
      <c r="F308" s="11" t="s">
        <v>1201</v>
      </c>
      <c r="G308" s="11"/>
      <c r="H308" s="25" t="s">
        <v>1202</v>
      </c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13">
        <v>170</v>
      </c>
      <c r="AG308" s="13"/>
      <c r="AH308" s="13">
        <v>170</v>
      </c>
      <c r="AL308">
        <v>170</v>
      </c>
      <c r="AM308" s="18"/>
      <c r="AO308" s="7">
        <v>1</v>
      </c>
    </row>
    <row r="309" spans="1:281" x14ac:dyDescent="0.3">
      <c r="A309" s="11" t="s">
        <v>1203</v>
      </c>
      <c r="B309" s="8" t="s">
        <v>25</v>
      </c>
      <c r="C309" s="8" t="s">
        <v>1204</v>
      </c>
      <c r="D309" s="10">
        <v>78</v>
      </c>
      <c r="E309" s="11" t="s">
        <v>1205</v>
      </c>
      <c r="F309" s="11"/>
      <c r="G309" s="11"/>
      <c r="H309" s="25" t="s">
        <v>1206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>
        <v>200</v>
      </c>
      <c r="AH309" s="13"/>
      <c r="AI309">
        <v>200</v>
      </c>
      <c r="AK309">
        <v>200</v>
      </c>
      <c r="AM309" s="39" t="s">
        <v>1207</v>
      </c>
      <c r="AN309" s="40"/>
      <c r="AO309" s="7">
        <v>1</v>
      </c>
    </row>
    <row r="310" spans="1:281" x14ac:dyDescent="0.3">
      <c r="A310" s="8" t="s">
        <v>1208</v>
      </c>
      <c r="B310" s="8" t="s">
        <v>105</v>
      </c>
      <c r="C310" s="8"/>
      <c r="D310" s="10">
        <v>78</v>
      </c>
      <c r="E310" s="11" t="s">
        <v>1209</v>
      </c>
      <c r="F310" s="11"/>
      <c r="G310" s="11"/>
      <c r="H310" s="25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13">
        <v>2500</v>
      </c>
      <c r="AM310" s="18" t="s">
        <v>500</v>
      </c>
      <c r="AP310" s="27">
        <v>2500</v>
      </c>
    </row>
    <row r="311" spans="1:281" x14ac:dyDescent="0.3">
      <c r="A311" s="11" t="s">
        <v>222</v>
      </c>
      <c r="B311" s="8" t="s">
        <v>25</v>
      </c>
      <c r="C311" s="8" t="s">
        <v>506</v>
      </c>
      <c r="D311" s="10">
        <v>79</v>
      </c>
      <c r="E311" s="11" t="s">
        <v>1210</v>
      </c>
      <c r="F311" s="11" t="s">
        <v>1211</v>
      </c>
      <c r="G311" s="11"/>
      <c r="H311" s="25" t="s">
        <v>1212</v>
      </c>
      <c r="I311" s="13"/>
      <c r="J311" s="13">
        <v>300</v>
      </c>
      <c r="K311" s="13"/>
      <c r="L311" s="13">
        <v>300</v>
      </c>
      <c r="M311" s="13"/>
      <c r="N311" s="13"/>
      <c r="O311" s="13"/>
      <c r="P311" s="13"/>
      <c r="Q311" s="13"/>
      <c r="R311" s="13">
        <v>300</v>
      </c>
      <c r="S311" s="13"/>
      <c r="T311" s="50"/>
      <c r="U311" s="13"/>
      <c r="V311" s="13">
        <v>300</v>
      </c>
      <c r="W311" s="13"/>
      <c r="X311" s="13">
        <v>300</v>
      </c>
      <c r="Y311" s="13"/>
      <c r="Z311" s="13">
        <v>300</v>
      </c>
      <c r="AA311" s="13"/>
      <c r="AB311" s="13">
        <v>300</v>
      </c>
      <c r="AC311" s="13"/>
      <c r="AD311" s="13">
        <v>300</v>
      </c>
      <c r="AE311" s="13"/>
      <c r="AF311" s="13"/>
      <c r="AG311" s="13"/>
      <c r="AH311" s="13">
        <v>300</v>
      </c>
      <c r="AL311">
        <v>600</v>
      </c>
      <c r="AM311" s="18"/>
      <c r="AO311" s="7">
        <v>1</v>
      </c>
    </row>
    <row r="312" spans="1:281" x14ac:dyDescent="0.3">
      <c r="A312" s="11" t="s">
        <v>1213</v>
      </c>
      <c r="B312" s="8" t="s">
        <v>25</v>
      </c>
      <c r="C312" s="8"/>
      <c r="D312" s="10">
        <v>79</v>
      </c>
      <c r="E312" s="11"/>
      <c r="F312" s="11"/>
      <c r="G312" s="11"/>
      <c r="H312" s="25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51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M312" s="18" t="s">
        <v>1214</v>
      </c>
    </row>
    <row r="313" spans="1:281" x14ac:dyDescent="0.3">
      <c r="A313" s="11" t="s">
        <v>1215</v>
      </c>
      <c r="B313" s="8" t="s">
        <v>25</v>
      </c>
      <c r="C313" s="8"/>
      <c r="D313" s="10">
        <v>80</v>
      </c>
      <c r="E313" s="11" t="s">
        <v>1216</v>
      </c>
      <c r="F313" s="11"/>
      <c r="G313" s="11"/>
      <c r="H313" s="19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M313" s="18"/>
    </row>
    <row r="314" spans="1:281" x14ac:dyDescent="0.3">
      <c r="A314" s="31" t="s">
        <v>1217</v>
      </c>
      <c r="B314" s="31" t="s">
        <v>105</v>
      </c>
      <c r="C314" s="31" t="s">
        <v>1218</v>
      </c>
      <c r="D314" s="23">
        <v>80</v>
      </c>
      <c r="E314" s="24"/>
      <c r="F314" s="24"/>
      <c r="G314" s="24"/>
      <c r="H314" s="12"/>
      <c r="I314" s="13"/>
      <c r="J314" s="13"/>
      <c r="K314" s="13">
        <v>83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M314" s="52"/>
      <c r="AN314" s="37"/>
      <c r="AP314" s="36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/>
      <c r="EJ314" s="37"/>
      <c r="EK314" s="37"/>
      <c r="EL314" s="37"/>
      <c r="EM314" s="37"/>
      <c r="EN314" s="37"/>
      <c r="EO314" s="37"/>
      <c r="EP314" s="37"/>
      <c r="EQ314" s="37"/>
      <c r="ER314" s="37"/>
      <c r="ES314" s="37"/>
      <c r="ET314" s="37"/>
      <c r="EU314" s="37"/>
      <c r="EV314" s="37"/>
      <c r="EW314" s="37"/>
      <c r="EX314" s="37"/>
      <c r="EY314" s="37"/>
      <c r="EZ314" s="37"/>
      <c r="FA314" s="37"/>
      <c r="FB314" s="37"/>
      <c r="FC314" s="37"/>
      <c r="FD314" s="37"/>
      <c r="FE314" s="37"/>
      <c r="FF314" s="37"/>
      <c r="FG314" s="37"/>
      <c r="FH314" s="37"/>
      <c r="FI314" s="37"/>
      <c r="FJ314" s="37"/>
      <c r="FK314" s="37"/>
      <c r="FL314" s="37"/>
      <c r="FM314" s="37"/>
      <c r="FN314" s="37"/>
      <c r="FO314" s="37"/>
      <c r="FP314" s="37"/>
      <c r="FQ314" s="37"/>
      <c r="FR314" s="37"/>
      <c r="FS314" s="37"/>
      <c r="FT314" s="37"/>
      <c r="FU314" s="37"/>
      <c r="FV314" s="37"/>
      <c r="FW314" s="37"/>
      <c r="FX314" s="37"/>
      <c r="FY314" s="37"/>
      <c r="FZ314" s="37"/>
      <c r="GA314" s="37"/>
      <c r="GB314" s="37"/>
      <c r="GC314" s="37"/>
      <c r="GD314" s="37"/>
      <c r="GE314" s="37"/>
      <c r="GF314" s="37"/>
      <c r="GG314" s="37"/>
      <c r="GH314" s="37"/>
      <c r="GI314" s="37"/>
      <c r="GJ314" s="37"/>
      <c r="GK314" s="37"/>
      <c r="GL314" s="37"/>
      <c r="GM314" s="37"/>
      <c r="GN314" s="37"/>
      <c r="GO314" s="37"/>
      <c r="GP314" s="37"/>
      <c r="GQ314" s="37"/>
      <c r="GR314" s="37"/>
      <c r="GS314" s="37"/>
      <c r="GT314" s="37"/>
      <c r="GU314" s="37"/>
      <c r="GV314" s="37"/>
      <c r="GW314" s="37"/>
      <c r="GX314" s="37"/>
      <c r="GY314" s="37"/>
      <c r="GZ314" s="37"/>
      <c r="HA314" s="37"/>
      <c r="HB314" s="37"/>
      <c r="HC314" s="37"/>
      <c r="HD314" s="37"/>
      <c r="HE314" s="37"/>
      <c r="HF314" s="37"/>
      <c r="HG314" s="37"/>
      <c r="HH314" s="37"/>
      <c r="HI314" s="37"/>
      <c r="HJ314" s="37"/>
      <c r="HK314" s="37"/>
      <c r="HL314" s="37"/>
      <c r="HM314" s="37"/>
      <c r="HN314" s="37"/>
      <c r="HO314" s="37"/>
      <c r="HP314" s="37"/>
      <c r="HQ314" s="37"/>
      <c r="HR314" s="37"/>
      <c r="HS314" s="37"/>
      <c r="HT314" s="37"/>
      <c r="HU314" s="37"/>
      <c r="HV314" s="37"/>
      <c r="HW314" s="37"/>
      <c r="HX314" s="37"/>
      <c r="HY314" s="37"/>
      <c r="HZ314" s="37"/>
      <c r="IA314" s="37"/>
      <c r="IB314" s="37"/>
      <c r="IC314" s="37"/>
      <c r="ID314" s="37"/>
      <c r="IE314" s="37"/>
      <c r="IF314" s="37"/>
      <c r="IG314" s="37"/>
      <c r="IH314" s="37"/>
      <c r="II314" s="37"/>
      <c r="IJ314" s="37"/>
      <c r="IK314" s="37"/>
      <c r="IL314" s="37"/>
      <c r="IM314" s="37"/>
      <c r="IN314" s="37"/>
      <c r="IO314" s="37"/>
      <c r="IP314" s="37"/>
      <c r="IQ314" s="37"/>
      <c r="IR314" s="37"/>
      <c r="IS314" s="37"/>
      <c r="IT314" s="37"/>
      <c r="IU314" s="37"/>
      <c r="IV314" s="37"/>
      <c r="IW314" s="37"/>
      <c r="IX314" s="37"/>
      <c r="IY314" s="37"/>
      <c r="IZ314" s="37"/>
      <c r="JA314" s="37"/>
      <c r="JB314" s="37"/>
      <c r="JC314" s="37"/>
      <c r="JD314" s="37"/>
      <c r="JE314" s="37"/>
      <c r="JF314" s="37"/>
      <c r="JG314" s="37"/>
      <c r="JH314" s="37"/>
      <c r="JI314" s="37"/>
      <c r="JJ314" s="37"/>
      <c r="JK314" s="37"/>
      <c r="JL314" s="37"/>
      <c r="JM314" s="37"/>
      <c r="JN314" s="37"/>
      <c r="JO314" s="37"/>
      <c r="JP314" s="37"/>
      <c r="JQ314" s="37"/>
      <c r="JR314" s="37"/>
      <c r="JS314" s="37"/>
      <c r="JT314" s="37"/>
      <c r="JU314" s="37"/>
    </row>
    <row r="315" spans="1:281" x14ac:dyDescent="0.3">
      <c r="A315" s="8" t="s">
        <v>1219</v>
      </c>
      <c r="B315" s="8" t="s">
        <v>150</v>
      </c>
      <c r="C315" s="8"/>
      <c r="D315" s="10">
        <v>80</v>
      </c>
      <c r="E315" s="11" t="s">
        <v>1220</v>
      </c>
      <c r="F315" s="11"/>
      <c r="G315" s="11"/>
      <c r="H315" s="12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M315" s="18"/>
    </row>
    <row r="316" spans="1:281" x14ac:dyDescent="0.3">
      <c r="A316" s="8" t="s">
        <v>1221</v>
      </c>
      <c r="B316" s="8" t="s">
        <v>261</v>
      </c>
      <c r="C316" s="8" t="s">
        <v>506</v>
      </c>
      <c r="D316" s="10">
        <v>81</v>
      </c>
      <c r="E316" s="11" t="s">
        <v>1222</v>
      </c>
      <c r="F316" s="11"/>
      <c r="G316" s="11"/>
      <c r="H316" s="25" t="s">
        <v>1223</v>
      </c>
      <c r="I316" s="13"/>
      <c r="J316" s="13">
        <v>300</v>
      </c>
      <c r="K316" s="13"/>
      <c r="L316" s="13">
        <v>300</v>
      </c>
      <c r="M316" s="13"/>
      <c r="N316" s="13">
        <v>300</v>
      </c>
      <c r="O316" s="13"/>
      <c r="P316" s="13">
        <v>300</v>
      </c>
      <c r="Q316" s="13"/>
      <c r="R316" s="13">
        <v>300</v>
      </c>
      <c r="S316" s="13"/>
      <c r="T316" s="13">
        <v>300</v>
      </c>
      <c r="U316" s="13"/>
      <c r="V316" s="13">
        <v>300</v>
      </c>
      <c r="W316" s="13"/>
      <c r="X316" s="13">
        <v>300</v>
      </c>
      <c r="Y316" s="13"/>
      <c r="Z316" s="13"/>
      <c r="AA316" s="13"/>
      <c r="AB316" s="13">
        <f>300+300</f>
        <v>600</v>
      </c>
      <c r="AC316" s="13"/>
      <c r="AD316" s="13"/>
      <c r="AE316" s="30"/>
      <c r="AF316" s="30"/>
      <c r="AG316" s="30"/>
      <c r="AH316" s="30"/>
      <c r="AM316" s="18"/>
    </row>
    <row r="317" spans="1:281" x14ac:dyDescent="0.3">
      <c r="A317" s="8" t="s">
        <v>1224</v>
      </c>
      <c r="B317" s="8" t="s">
        <v>261</v>
      </c>
      <c r="C317" s="8"/>
      <c r="D317" s="10">
        <v>81</v>
      </c>
      <c r="E317" s="11" t="s">
        <v>1225</v>
      </c>
      <c r="F317" s="11"/>
      <c r="G317" s="11"/>
      <c r="H317" s="25" t="s">
        <v>1226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M317" s="18"/>
    </row>
    <row r="318" spans="1:281" x14ac:dyDescent="0.3">
      <c r="A318" s="8" t="s">
        <v>1227</v>
      </c>
      <c r="B318" s="8" t="s">
        <v>261</v>
      </c>
      <c r="C318" s="8"/>
      <c r="D318" s="10">
        <v>81</v>
      </c>
      <c r="E318" s="11" t="s">
        <v>1228</v>
      </c>
      <c r="F318" s="11"/>
      <c r="G318" s="11"/>
      <c r="H318" s="25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M318" s="18"/>
    </row>
    <row r="319" spans="1:281" x14ac:dyDescent="0.3">
      <c r="A319" s="8" t="s">
        <v>1229</v>
      </c>
      <c r="B319" s="8" t="s">
        <v>261</v>
      </c>
      <c r="C319" s="8"/>
      <c r="D319" s="10">
        <v>81</v>
      </c>
      <c r="E319" s="11" t="s">
        <v>1230</v>
      </c>
      <c r="F319" s="11"/>
      <c r="G319" s="11"/>
      <c r="H319" s="25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M319" s="18"/>
    </row>
    <row r="320" spans="1:281" x14ac:dyDescent="0.3">
      <c r="A320" s="11" t="s">
        <v>1231</v>
      </c>
      <c r="B320" s="8" t="s">
        <v>25</v>
      </c>
      <c r="C320" s="8"/>
      <c r="D320" s="10">
        <v>81</v>
      </c>
      <c r="E320" s="11" t="s">
        <v>1232</v>
      </c>
      <c r="F320" s="11" t="s">
        <v>1233</v>
      </c>
      <c r="G320" s="11"/>
      <c r="H320" s="25" t="s">
        <v>1234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M320" s="18" t="s">
        <v>1235</v>
      </c>
    </row>
    <row r="321" spans="1:42" x14ac:dyDescent="0.3">
      <c r="A321" s="11" t="s">
        <v>1236</v>
      </c>
      <c r="B321" s="8" t="s">
        <v>25</v>
      </c>
      <c r="C321" s="8"/>
      <c r="D321" s="10">
        <v>81</v>
      </c>
      <c r="E321" s="11" t="s">
        <v>1237</v>
      </c>
      <c r="F321" s="11"/>
      <c r="G321" s="11"/>
      <c r="H321" s="25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M321" s="18"/>
    </row>
    <row r="322" spans="1:42" x14ac:dyDescent="0.3">
      <c r="A322" s="11" t="s">
        <v>1238</v>
      </c>
      <c r="B322" s="8" t="s">
        <v>25</v>
      </c>
      <c r="C322" s="8"/>
      <c r="D322" s="10">
        <v>81</v>
      </c>
      <c r="E322" s="11" t="s">
        <v>1239</v>
      </c>
      <c r="F322" s="11"/>
      <c r="G322" s="11"/>
      <c r="H322" s="25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M322" s="18"/>
    </row>
    <row r="323" spans="1:42" x14ac:dyDescent="0.3">
      <c r="A323" s="8" t="s">
        <v>85</v>
      </c>
      <c r="B323" s="8" t="s">
        <v>261</v>
      </c>
      <c r="C323" s="8" t="s">
        <v>83</v>
      </c>
      <c r="D323" s="10">
        <v>82</v>
      </c>
      <c r="E323" s="11" t="s">
        <v>1240</v>
      </c>
      <c r="F323" s="11"/>
      <c r="G323" s="11"/>
      <c r="H323" s="19"/>
      <c r="I323" s="13"/>
      <c r="J323" s="13">
        <v>350</v>
      </c>
      <c r="K323" s="13"/>
      <c r="L323" s="13">
        <v>350</v>
      </c>
      <c r="M323" s="13"/>
      <c r="N323" s="13">
        <v>350</v>
      </c>
      <c r="O323" s="13"/>
      <c r="P323" s="13">
        <v>350</v>
      </c>
      <c r="Q323" s="13"/>
      <c r="R323" s="13">
        <v>350</v>
      </c>
      <c r="S323" s="13"/>
      <c r="T323" s="13">
        <v>350</v>
      </c>
      <c r="U323" s="13"/>
      <c r="V323" s="13">
        <f>350+350</f>
        <v>700</v>
      </c>
      <c r="W323" s="13"/>
      <c r="X323" s="13"/>
      <c r="Y323" s="13"/>
      <c r="Z323" s="13">
        <v>350</v>
      </c>
      <c r="AA323" s="13"/>
      <c r="AB323" s="13">
        <v>350</v>
      </c>
      <c r="AC323" s="13"/>
      <c r="AD323" s="13">
        <v>350</v>
      </c>
      <c r="AE323" s="13"/>
      <c r="AF323" s="13">
        <v>350</v>
      </c>
      <c r="AG323" s="13"/>
      <c r="AH323" s="13">
        <f>350+500</f>
        <v>850</v>
      </c>
      <c r="AM323" s="18" t="s">
        <v>500</v>
      </c>
      <c r="AN323" s="7">
        <v>850</v>
      </c>
      <c r="AO323" s="7">
        <v>1</v>
      </c>
      <c r="AP323" s="27">
        <v>500</v>
      </c>
    </row>
    <row r="324" spans="1:42" x14ac:dyDescent="0.3">
      <c r="A324" s="8" t="s">
        <v>1241</v>
      </c>
      <c r="B324" s="8" t="s">
        <v>150</v>
      </c>
      <c r="C324" s="8" t="s">
        <v>506</v>
      </c>
      <c r="D324" s="10">
        <v>82</v>
      </c>
      <c r="E324" s="11" t="s">
        <v>1242</v>
      </c>
      <c r="F324" s="11"/>
      <c r="G324" s="11"/>
      <c r="H324" s="25" t="s">
        <v>1243</v>
      </c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13">
        <v>170</v>
      </c>
      <c r="AG324" s="13"/>
      <c r="AH324" s="13"/>
      <c r="AM324" s="18"/>
    </row>
    <row r="325" spans="1:42" x14ac:dyDescent="0.3">
      <c r="A325" s="8" t="s">
        <v>1244</v>
      </c>
      <c r="B325" s="8" t="s">
        <v>150</v>
      </c>
      <c r="C325" s="8" t="s">
        <v>506</v>
      </c>
      <c r="D325" s="10">
        <v>82</v>
      </c>
      <c r="E325" s="11"/>
      <c r="F325" s="11"/>
      <c r="G325" s="11"/>
      <c r="H325" s="25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M325" s="18"/>
    </row>
    <row r="326" spans="1:42" x14ac:dyDescent="0.3">
      <c r="A326" s="8" t="s">
        <v>1245</v>
      </c>
      <c r="B326" s="8" t="s">
        <v>150</v>
      </c>
      <c r="C326" s="8"/>
      <c r="D326" s="10">
        <v>82</v>
      </c>
      <c r="E326" s="11" t="s">
        <v>1246</v>
      </c>
      <c r="F326" s="11"/>
      <c r="G326" s="11"/>
      <c r="H326" s="25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M326" s="18"/>
    </row>
    <row r="327" spans="1:42" x14ac:dyDescent="0.3">
      <c r="A327" s="11" t="s">
        <v>1247</v>
      </c>
      <c r="B327" s="8" t="s">
        <v>25</v>
      </c>
      <c r="C327" s="8"/>
      <c r="D327" s="10">
        <v>83</v>
      </c>
      <c r="E327" s="11" t="s">
        <v>1248</v>
      </c>
      <c r="F327" s="11"/>
      <c r="G327" s="11"/>
      <c r="H327" s="25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M327" s="18"/>
    </row>
    <row r="328" spans="1:42" x14ac:dyDescent="0.3">
      <c r="A328" s="11" t="s">
        <v>1249</v>
      </c>
      <c r="B328" s="8" t="s">
        <v>25</v>
      </c>
      <c r="C328" s="8"/>
      <c r="D328" s="10">
        <v>83</v>
      </c>
      <c r="E328" s="11"/>
      <c r="F328" s="11"/>
      <c r="G328" s="11"/>
      <c r="H328" s="12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M328" s="18"/>
    </row>
    <row r="329" spans="1:42" x14ac:dyDescent="0.3">
      <c r="A329" s="31" t="s">
        <v>124</v>
      </c>
      <c r="B329" s="31" t="s">
        <v>105</v>
      </c>
      <c r="C329" s="31" t="s">
        <v>506</v>
      </c>
      <c r="D329" s="23">
        <v>83</v>
      </c>
      <c r="E329" s="53" t="s">
        <v>1250</v>
      </c>
      <c r="F329" s="53"/>
      <c r="G329" s="53"/>
      <c r="H329" s="12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>
        <v>170</v>
      </c>
      <c r="AG329" s="13"/>
      <c r="AH329" s="13">
        <v>1500</v>
      </c>
      <c r="AM329" s="18" t="s">
        <v>500</v>
      </c>
      <c r="AN329">
        <v>500</v>
      </c>
      <c r="AP329" s="27">
        <v>1500</v>
      </c>
    </row>
    <row r="330" spans="1:42" x14ac:dyDescent="0.3">
      <c r="A330" s="31" t="s">
        <v>1251</v>
      </c>
      <c r="B330" s="31" t="s">
        <v>105</v>
      </c>
      <c r="C330" s="31"/>
      <c r="D330" s="23">
        <v>83</v>
      </c>
      <c r="E330" s="53"/>
      <c r="F330" s="53"/>
      <c r="G330" s="53"/>
      <c r="H330" s="12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M330" s="18"/>
    </row>
    <row r="331" spans="1:42" x14ac:dyDescent="0.3">
      <c r="A331" s="8" t="s">
        <v>1252</v>
      </c>
      <c r="B331" s="8" t="s">
        <v>29</v>
      </c>
      <c r="C331" s="9" t="s">
        <v>1253</v>
      </c>
      <c r="D331" s="10">
        <v>84</v>
      </c>
      <c r="E331" s="11" t="s">
        <v>1254</v>
      </c>
      <c r="F331" s="11" t="s">
        <v>1255</v>
      </c>
      <c r="G331" s="11" t="s">
        <v>1256</v>
      </c>
      <c r="H331" s="25" t="s">
        <v>1257</v>
      </c>
      <c r="I331" s="13">
        <v>350</v>
      </c>
      <c r="J331" s="13"/>
      <c r="K331" s="13">
        <v>350</v>
      </c>
      <c r="L331" s="13"/>
      <c r="M331" s="13">
        <v>350</v>
      </c>
      <c r="N331" s="13"/>
      <c r="O331" s="13">
        <v>350</v>
      </c>
      <c r="P331" s="13"/>
      <c r="Q331" s="13">
        <v>350</v>
      </c>
      <c r="R331" s="13"/>
      <c r="S331" s="13">
        <v>350</v>
      </c>
      <c r="T331" s="13"/>
      <c r="U331" s="13">
        <v>350</v>
      </c>
      <c r="V331" s="13"/>
      <c r="W331" s="13">
        <v>350</v>
      </c>
      <c r="X331" s="13"/>
      <c r="Y331" s="13">
        <v>350</v>
      </c>
      <c r="Z331" s="13"/>
      <c r="AA331" s="13">
        <v>350</v>
      </c>
      <c r="AB331" s="13"/>
      <c r="AC331" s="13">
        <v>350</v>
      </c>
      <c r="AD331" s="13"/>
      <c r="AE331" s="13">
        <v>350</v>
      </c>
      <c r="AF331" s="13"/>
      <c r="AG331" s="13">
        <v>350</v>
      </c>
      <c r="AH331" s="13"/>
      <c r="AI331">
        <v>350</v>
      </c>
      <c r="AK331">
        <v>350</v>
      </c>
      <c r="AM331" s="18"/>
      <c r="AO331" s="7">
        <v>1</v>
      </c>
    </row>
    <row r="332" spans="1:42" x14ac:dyDescent="0.3">
      <c r="A332" s="8" t="s">
        <v>1258</v>
      </c>
      <c r="B332" s="8" t="s">
        <v>150</v>
      </c>
      <c r="C332" s="8"/>
      <c r="D332" s="10">
        <v>84</v>
      </c>
      <c r="E332" s="11"/>
      <c r="F332" s="11"/>
      <c r="G332" s="11"/>
      <c r="H332" s="19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M332" s="18"/>
    </row>
    <row r="333" spans="1:42" x14ac:dyDescent="0.3">
      <c r="A333" s="8" t="s">
        <v>1259</v>
      </c>
      <c r="B333" s="8" t="s">
        <v>150</v>
      </c>
      <c r="C333" s="8" t="s">
        <v>506</v>
      </c>
      <c r="D333" s="10">
        <v>84</v>
      </c>
      <c r="E333" s="11" t="s">
        <v>1260</v>
      </c>
      <c r="F333" s="11"/>
      <c r="G333" s="11"/>
      <c r="H333" s="25" t="s">
        <v>1261</v>
      </c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M333" s="18"/>
    </row>
    <row r="334" spans="1:42" x14ac:dyDescent="0.3">
      <c r="A334" s="8" t="s">
        <v>1262</v>
      </c>
      <c r="B334" s="8" t="s">
        <v>150</v>
      </c>
      <c r="C334" s="8"/>
      <c r="D334" s="10">
        <v>84</v>
      </c>
      <c r="E334" s="11" t="s">
        <v>1263</v>
      </c>
      <c r="F334" s="11"/>
      <c r="G334" s="11"/>
      <c r="H334" s="25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M334" s="18"/>
    </row>
    <row r="335" spans="1:42" x14ac:dyDescent="0.3">
      <c r="A335" s="11" t="s">
        <v>64</v>
      </c>
      <c r="B335" s="8" t="s">
        <v>25</v>
      </c>
      <c r="C335" s="8" t="s">
        <v>1264</v>
      </c>
      <c r="D335" s="10">
        <v>85</v>
      </c>
      <c r="E335" s="11" t="s">
        <v>1265</v>
      </c>
      <c r="F335" s="11"/>
      <c r="G335" s="11"/>
      <c r="H335" s="25" t="s">
        <v>1266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>
        <f>170+170+500</f>
        <v>840</v>
      </c>
      <c r="AJ335">
        <v>170</v>
      </c>
      <c r="AL335">
        <v>170</v>
      </c>
      <c r="AM335" s="18" t="s">
        <v>500</v>
      </c>
      <c r="AO335" s="7">
        <v>1</v>
      </c>
      <c r="AP335" s="27">
        <v>500</v>
      </c>
    </row>
    <row r="336" spans="1:42" x14ac:dyDescent="0.3">
      <c r="A336" s="8" t="s">
        <v>1267</v>
      </c>
      <c r="B336" s="8" t="s">
        <v>105</v>
      </c>
      <c r="C336" s="8"/>
      <c r="D336" s="10">
        <v>85</v>
      </c>
      <c r="E336" s="11" t="s">
        <v>1268</v>
      </c>
      <c r="F336" s="11"/>
      <c r="G336" s="11"/>
      <c r="H336" s="12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M336" s="18"/>
    </row>
    <row r="337" spans="1:281" x14ac:dyDescent="0.3">
      <c r="A337" s="8" t="s">
        <v>1269</v>
      </c>
      <c r="B337" s="8" t="s">
        <v>105</v>
      </c>
      <c r="C337" s="9" t="s">
        <v>1270</v>
      </c>
      <c r="D337" s="10">
        <v>86</v>
      </c>
      <c r="E337" s="11" t="s">
        <v>1271</v>
      </c>
      <c r="F337" s="11"/>
      <c r="G337" s="11"/>
      <c r="H337" s="25" t="s">
        <v>1272</v>
      </c>
      <c r="I337" s="13">
        <v>300</v>
      </c>
      <c r="J337" s="13"/>
      <c r="K337" s="13">
        <v>300</v>
      </c>
      <c r="L337" s="13"/>
      <c r="M337" s="13">
        <v>300</v>
      </c>
      <c r="N337" s="13"/>
      <c r="O337" s="13">
        <v>300</v>
      </c>
      <c r="P337" s="13"/>
      <c r="Q337" s="13">
        <v>300</v>
      </c>
      <c r="R337" s="13"/>
      <c r="S337" s="13">
        <v>300</v>
      </c>
      <c r="T337" s="13"/>
      <c r="U337" s="13">
        <v>300</v>
      </c>
      <c r="V337" s="13"/>
      <c r="W337" s="13">
        <v>300</v>
      </c>
      <c r="X337" s="13"/>
      <c r="Y337" s="13">
        <v>300</v>
      </c>
      <c r="Z337" s="13"/>
      <c r="AA337" s="13">
        <v>300</v>
      </c>
      <c r="AB337" s="13"/>
      <c r="AC337" s="13">
        <v>300</v>
      </c>
      <c r="AD337" s="13"/>
      <c r="AE337" s="13">
        <v>300</v>
      </c>
      <c r="AF337" s="13"/>
      <c r="AG337" s="13">
        <v>300</v>
      </c>
      <c r="AH337" s="13"/>
      <c r="AI337">
        <v>300</v>
      </c>
      <c r="AK337">
        <v>300</v>
      </c>
      <c r="AM337" s="18"/>
      <c r="AO337" s="7">
        <v>1</v>
      </c>
    </row>
    <row r="338" spans="1:281" x14ac:dyDescent="0.3">
      <c r="A338" s="8" t="s">
        <v>1273</v>
      </c>
      <c r="B338" s="8" t="s">
        <v>150</v>
      </c>
      <c r="C338" s="8"/>
      <c r="D338" s="10">
        <v>86</v>
      </c>
      <c r="E338" s="11" t="s">
        <v>1274</v>
      </c>
      <c r="F338" s="11"/>
      <c r="G338" s="11"/>
      <c r="H338" s="19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M338" s="18"/>
    </row>
    <row r="339" spans="1:281" x14ac:dyDescent="0.3">
      <c r="A339" s="8" t="s">
        <v>1275</v>
      </c>
      <c r="B339" s="8" t="s">
        <v>249</v>
      </c>
      <c r="C339" s="8"/>
      <c r="D339" s="10">
        <v>87</v>
      </c>
      <c r="E339" s="11" t="s">
        <v>1276</v>
      </c>
      <c r="F339" s="11"/>
      <c r="G339" s="11"/>
      <c r="H339" s="19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M339" s="18"/>
    </row>
    <row r="340" spans="1:281" x14ac:dyDescent="0.3">
      <c r="A340" s="8" t="s">
        <v>1277</v>
      </c>
      <c r="B340" s="8" t="s">
        <v>249</v>
      </c>
      <c r="C340" s="8"/>
      <c r="D340" s="10">
        <v>87</v>
      </c>
      <c r="E340" s="11" t="s">
        <v>1278</v>
      </c>
      <c r="F340" s="11"/>
      <c r="G340" s="11"/>
      <c r="H340" s="1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M340" s="18"/>
    </row>
    <row r="341" spans="1:281" x14ac:dyDescent="0.3">
      <c r="A341" s="11" t="s">
        <v>24</v>
      </c>
      <c r="B341" s="8" t="s">
        <v>25</v>
      </c>
      <c r="C341" s="8" t="s">
        <v>1279</v>
      </c>
      <c r="D341" s="10">
        <v>87</v>
      </c>
      <c r="E341" s="11" t="s">
        <v>1280</v>
      </c>
      <c r="F341" s="11"/>
      <c r="G341" s="11"/>
      <c r="H341" s="25" t="s">
        <v>1281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>
        <v>170</v>
      </c>
      <c r="AJ341">
        <v>170</v>
      </c>
      <c r="AM341" s="18"/>
      <c r="AO341" s="7">
        <v>1</v>
      </c>
    </row>
    <row r="342" spans="1:281" x14ac:dyDescent="0.3">
      <c r="A342" s="8" t="s">
        <v>203</v>
      </c>
      <c r="B342" s="8" t="s">
        <v>105</v>
      </c>
      <c r="C342" s="8"/>
      <c r="D342" s="10">
        <v>88</v>
      </c>
      <c r="E342" s="11"/>
      <c r="F342" s="11"/>
      <c r="G342" s="11"/>
      <c r="H342" s="19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>
        <v>500</v>
      </c>
      <c r="AM342" s="18" t="s">
        <v>500</v>
      </c>
      <c r="AP342" s="27">
        <v>500</v>
      </c>
    </row>
    <row r="343" spans="1:281" x14ac:dyDescent="0.3">
      <c r="A343" s="8" t="s">
        <v>1282</v>
      </c>
      <c r="B343" s="8" t="s">
        <v>150</v>
      </c>
      <c r="C343" s="8"/>
      <c r="D343" s="10">
        <v>88</v>
      </c>
      <c r="E343" s="11" t="s">
        <v>1283</v>
      </c>
      <c r="F343" s="11"/>
      <c r="G343" s="11"/>
      <c r="H343" s="19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M343" s="18"/>
    </row>
    <row r="344" spans="1:281" x14ac:dyDescent="0.3">
      <c r="A344" s="8" t="s">
        <v>1284</v>
      </c>
      <c r="B344" s="8" t="s">
        <v>249</v>
      </c>
      <c r="C344" s="8"/>
      <c r="D344" s="10">
        <v>89</v>
      </c>
      <c r="E344" s="11" t="s">
        <v>1285</v>
      </c>
      <c r="F344" s="11"/>
      <c r="G344" s="11"/>
      <c r="H344" s="25" t="s">
        <v>1286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M344" s="18"/>
    </row>
    <row r="345" spans="1:281" x14ac:dyDescent="0.3">
      <c r="A345" s="11" t="s">
        <v>1287</v>
      </c>
      <c r="B345" s="8" t="s">
        <v>25</v>
      </c>
      <c r="C345" s="8" t="s">
        <v>1288</v>
      </c>
      <c r="D345" s="10">
        <v>89</v>
      </c>
      <c r="E345" s="11" t="s">
        <v>1289</v>
      </c>
      <c r="F345" s="11"/>
      <c r="G345" s="11"/>
      <c r="H345" s="12"/>
      <c r="I345" s="13"/>
      <c r="J345" s="13"/>
      <c r="K345" s="13">
        <v>220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M345" s="18"/>
    </row>
    <row r="346" spans="1:281" x14ac:dyDescent="0.3">
      <c r="A346" s="11" t="s">
        <v>1290</v>
      </c>
      <c r="B346" s="8" t="s">
        <v>25</v>
      </c>
      <c r="C346" s="9" t="s">
        <v>1291</v>
      </c>
      <c r="D346" s="10">
        <v>89</v>
      </c>
      <c r="E346" s="11" t="s">
        <v>1292</v>
      </c>
      <c r="F346" s="11" t="s">
        <v>1293</v>
      </c>
      <c r="G346" s="11"/>
      <c r="H346" s="25" t="s">
        <v>1294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>
        <v>200</v>
      </c>
      <c r="AF346" s="13"/>
      <c r="AG346" s="13">
        <v>200</v>
      </c>
      <c r="AH346" s="13"/>
      <c r="AI346">
        <v>200</v>
      </c>
      <c r="AK346">
        <v>200</v>
      </c>
      <c r="AM346" s="18"/>
      <c r="AO346" s="7">
        <v>1</v>
      </c>
    </row>
    <row r="347" spans="1:281" x14ac:dyDescent="0.3">
      <c r="A347" s="8" t="s">
        <v>1295</v>
      </c>
      <c r="B347" s="8" t="s">
        <v>105</v>
      </c>
      <c r="C347" s="8"/>
      <c r="D347" s="10">
        <v>90</v>
      </c>
      <c r="E347" s="11" t="s">
        <v>1296</v>
      </c>
      <c r="F347" s="11"/>
      <c r="G347" s="11"/>
      <c r="H347" s="16" t="s">
        <v>1297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M347" s="18"/>
    </row>
    <row r="348" spans="1:281" x14ac:dyDescent="0.3">
      <c r="A348" s="8" t="s">
        <v>135</v>
      </c>
      <c r="B348" s="8" t="s">
        <v>105</v>
      </c>
      <c r="C348" s="8" t="s">
        <v>1298</v>
      </c>
      <c r="D348" s="10">
        <v>90</v>
      </c>
      <c r="E348" s="11" t="s">
        <v>1299</v>
      </c>
      <c r="F348" s="11"/>
      <c r="G348" s="11"/>
      <c r="H348" s="25" t="s">
        <v>1300</v>
      </c>
      <c r="I348" s="13">
        <v>350</v>
      </c>
      <c r="J348" s="13"/>
      <c r="K348" s="13">
        <v>350</v>
      </c>
      <c r="L348" s="13"/>
      <c r="M348" s="13">
        <v>350</v>
      </c>
      <c r="N348" s="13"/>
      <c r="O348" s="13">
        <v>350</v>
      </c>
      <c r="P348" s="13"/>
      <c r="Q348" s="13">
        <v>350</v>
      </c>
      <c r="R348" s="13"/>
      <c r="S348" s="13">
        <v>350</v>
      </c>
      <c r="T348" s="13"/>
      <c r="U348" s="13">
        <v>350</v>
      </c>
      <c r="V348" s="13"/>
      <c r="W348" s="13">
        <v>350</v>
      </c>
      <c r="X348" s="18"/>
      <c r="Y348" s="13">
        <v>350</v>
      </c>
      <c r="Z348" s="18"/>
      <c r="AA348" s="13">
        <v>350</v>
      </c>
      <c r="AB348" s="18"/>
      <c r="AC348" s="13">
        <v>350</v>
      </c>
      <c r="AD348" s="18"/>
      <c r="AE348" s="13">
        <v>350</v>
      </c>
      <c r="AF348" s="18"/>
      <c r="AG348" s="13">
        <v>350</v>
      </c>
      <c r="AH348" s="18"/>
      <c r="AI348">
        <v>350</v>
      </c>
      <c r="AK348">
        <v>350</v>
      </c>
      <c r="AM348" s="18"/>
      <c r="AO348" s="7">
        <v>1</v>
      </c>
    </row>
    <row r="349" spans="1:281" x14ac:dyDescent="0.3">
      <c r="A349" s="8" t="s">
        <v>1301</v>
      </c>
      <c r="B349" s="8" t="s">
        <v>105</v>
      </c>
      <c r="C349" s="8"/>
      <c r="D349" s="10">
        <v>90</v>
      </c>
      <c r="E349" s="11" t="s">
        <v>1302</v>
      </c>
      <c r="F349" s="11"/>
      <c r="G349" s="11"/>
      <c r="H349" s="25" t="s">
        <v>1303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M349" s="18"/>
      <c r="AN349" s="7"/>
      <c r="AO349" s="7"/>
      <c r="AP349" s="54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</row>
    <row r="350" spans="1:281" x14ac:dyDescent="0.3">
      <c r="A350" s="8" t="s">
        <v>1304</v>
      </c>
      <c r="B350" s="8" t="s">
        <v>150</v>
      </c>
      <c r="C350" s="8"/>
      <c r="D350" s="10">
        <v>90</v>
      </c>
      <c r="E350" s="11" t="s">
        <v>1305</v>
      </c>
      <c r="F350" s="11" t="s">
        <v>1306</v>
      </c>
      <c r="G350" s="11"/>
      <c r="H350" s="12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M350" s="18"/>
    </row>
    <row r="351" spans="1:281" x14ac:dyDescent="0.3">
      <c r="A351" s="8" t="s">
        <v>206</v>
      </c>
      <c r="B351" s="8" t="s">
        <v>249</v>
      </c>
      <c r="C351" s="9" t="s">
        <v>1307</v>
      </c>
      <c r="D351" s="10">
        <v>91</v>
      </c>
      <c r="E351" s="11" t="s">
        <v>1308</v>
      </c>
      <c r="F351" s="11"/>
      <c r="G351" s="11"/>
      <c r="H351" s="25" t="s">
        <v>1309</v>
      </c>
      <c r="I351" s="13">
        <v>350</v>
      </c>
      <c r="J351" s="13"/>
      <c r="K351" s="13">
        <v>350</v>
      </c>
      <c r="L351" s="13"/>
      <c r="M351" s="13">
        <v>350</v>
      </c>
      <c r="N351" s="13"/>
      <c r="O351" s="13">
        <v>350</v>
      </c>
      <c r="P351" s="13"/>
      <c r="Q351" s="13">
        <v>350</v>
      </c>
      <c r="R351" s="13"/>
      <c r="S351" s="13">
        <v>350</v>
      </c>
      <c r="T351" s="13"/>
      <c r="U351" s="13">
        <v>350</v>
      </c>
      <c r="V351" s="13"/>
      <c r="W351" s="13">
        <v>350</v>
      </c>
      <c r="X351" s="13"/>
      <c r="Y351" s="13">
        <v>350</v>
      </c>
      <c r="Z351" s="13"/>
      <c r="AA351" s="13">
        <v>350</v>
      </c>
      <c r="AB351" s="13"/>
      <c r="AC351" s="13">
        <v>350</v>
      </c>
      <c r="AD351" s="13"/>
      <c r="AE351" s="13">
        <v>350</v>
      </c>
      <c r="AF351" s="13"/>
      <c r="AG351" s="13">
        <v>350</v>
      </c>
      <c r="AH351" s="13">
        <v>500</v>
      </c>
      <c r="AI351">
        <v>350</v>
      </c>
      <c r="AK351">
        <v>350</v>
      </c>
      <c r="AM351" s="18" t="s">
        <v>500</v>
      </c>
      <c r="AO351" s="7">
        <v>1</v>
      </c>
      <c r="AP351" s="27">
        <v>500</v>
      </c>
    </row>
    <row r="352" spans="1:281" x14ac:dyDescent="0.3">
      <c r="A352" s="11" t="s">
        <v>1310</v>
      </c>
      <c r="B352" s="8" t="s">
        <v>25</v>
      </c>
      <c r="C352" s="9" t="s">
        <v>1311</v>
      </c>
      <c r="D352" s="10">
        <v>91</v>
      </c>
      <c r="E352" s="11" t="s">
        <v>1312</v>
      </c>
      <c r="F352" s="11"/>
      <c r="G352" s="11"/>
      <c r="H352" s="25" t="s">
        <v>1313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M352" s="39" t="s">
        <v>1314</v>
      </c>
      <c r="AN352" s="40"/>
    </row>
    <row r="353" spans="1:42" x14ac:dyDescent="0.3">
      <c r="A353" s="8" t="s">
        <v>141</v>
      </c>
      <c r="B353" s="8" t="s">
        <v>105</v>
      </c>
      <c r="C353" s="8" t="s">
        <v>1315</v>
      </c>
      <c r="D353" s="10">
        <v>92</v>
      </c>
      <c r="E353" s="11" t="s">
        <v>1316</v>
      </c>
      <c r="F353" s="11" t="s">
        <v>1317</v>
      </c>
      <c r="G353" s="11"/>
      <c r="H353" s="25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>
        <v>500</v>
      </c>
      <c r="AM353" s="39" t="s">
        <v>500</v>
      </c>
      <c r="AN353" s="40">
        <v>300</v>
      </c>
      <c r="AP353" s="27">
        <v>500</v>
      </c>
    </row>
    <row r="354" spans="1:42" x14ac:dyDescent="0.3">
      <c r="A354" s="8" t="s">
        <v>1318</v>
      </c>
      <c r="B354" s="8" t="s">
        <v>249</v>
      </c>
      <c r="C354" s="9" t="s">
        <v>1319</v>
      </c>
      <c r="D354" s="10">
        <v>93</v>
      </c>
      <c r="E354" s="11" t="s">
        <v>1320</v>
      </c>
      <c r="F354" s="11" t="s">
        <v>1321</v>
      </c>
      <c r="G354" s="11"/>
      <c r="H354" s="16" t="s">
        <v>1322</v>
      </c>
      <c r="I354" s="13">
        <v>363</v>
      </c>
      <c r="J354" s="13"/>
      <c r="K354" s="13">
        <v>363</v>
      </c>
      <c r="L354" s="13"/>
      <c r="M354" s="13">
        <v>363</v>
      </c>
      <c r="N354" s="13"/>
      <c r="O354" s="13">
        <v>363</v>
      </c>
      <c r="P354" s="13"/>
      <c r="Q354" s="13">
        <v>363</v>
      </c>
      <c r="R354" s="13"/>
      <c r="S354" s="13">
        <v>363</v>
      </c>
      <c r="T354" s="13"/>
      <c r="U354" s="13">
        <v>363</v>
      </c>
      <c r="V354" s="13"/>
      <c r="W354" s="13">
        <v>363</v>
      </c>
      <c r="X354" s="13"/>
      <c r="Y354" s="13">
        <v>363</v>
      </c>
      <c r="Z354" s="13"/>
      <c r="AA354" s="13">
        <v>363</v>
      </c>
      <c r="AB354" s="13"/>
      <c r="AC354" s="13">
        <v>363</v>
      </c>
      <c r="AD354" s="13"/>
      <c r="AE354" s="13">
        <v>363</v>
      </c>
      <c r="AF354" s="13"/>
      <c r="AG354" s="13">
        <v>363</v>
      </c>
      <c r="AH354" s="13"/>
      <c r="AI354">
        <v>363</v>
      </c>
      <c r="AK354">
        <v>363</v>
      </c>
      <c r="AM354" s="18"/>
      <c r="AO354" s="7">
        <v>1</v>
      </c>
    </row>
    <row r="355" spans="1:42" x14ac:dyDescent="0.3">
      <c r="A355" s="8" t="s">
        <v>1323</v>
      </c>
      <c r="B355" s="8" t="s">
        <v>249</v>
      </c>
      <c r="C355" s="9"/>
      <c r="D355" s="10">
        <v>93</v>
      </c>
      <c r="E355" s="11" t="s">
        <v>1324</v>
      </c>
      <c r="F355" s="11"/>
      <c r="G355" s="11"/>
      <c r="H355" s="25" t="s">
        <v>1325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M355" s="18"/>
    </row>
    <row r="356" spans="1:42" x14ac:dyDescent="0.3">
      <c r="A356" s="11" t="s">
        <v>1326</v>
      </c>
      <c r="B356" s="8" t="s">
        <v>25</v>
      </c>
      <c r="C356" s="9" t="s">
        <v>1327</v>
      </c>
      <c r="D356" s="10">
        <v>93</v>
      </c>
      <c r="E356" s="11" t="s">
        <v>1328</v>
      </c>
      <c r="F356" s="11"/>
      <c r="G356" s="11"/>
      <c r="H356" s="26" t="s">
        <v>1329</v>
      </c>
      <c r="I356" s="13">
        <v>350</v>
      </c>
      <c r="J356" s="13"/>
      <c r="K356" s="13">
        <v>350</v>
      </c>
      <c r="L356" s="13"/>
      <c r="M356" s="13">
        <v>350</v>
      </c>
      <c r="N356" s="13"/>
      <c r="O356" s="13">
        <v>350</v>
      </c>
      <c r="P356" s="13"/>
      <c r="Q356" s="13">
        <v>350</v>
      </c>
      <c r="R356" s="13"/>
      <c r="S356" s="13">
        <v>350</v>
      </c>
      <c r="T356" s="13"/>
      <c r="U356" s="13">
        <v>350</v>
      </c>
      <c r="V356" s="13"/>
      <c r="W356" s="13">
        <v>350</v>
      </c>
      <c r="X356" s="13"/>
      <c r="Y356" s="13">
        <v>350</v>
      </c>
      <c r="Z356" s="13"/>
      <c r="AA356" s="13">
        <v>350</v>
      </c>
      <c r="AB356" s="13"/>
      <c r="AC356" s="13">
        <v>350</v>
      </c>
      <c r="AD356" s="13"/>
      <c r="AE356" s="13">
        <v>350</v>
      </c>
      <c r="AF356" s="13"/>
      <c r="AG356" s="13">
        <v>350</v>
      </c>
      <c r="AH356" s="13"/>
      <c r="AI356">
        <v>350</v>
      </c>
      <c r="AK356">
        <v>350</v>
      </c>
      <c r="AM356" s="18"/>
      <c r="AO356" s="7">
        <v>1</v>
      </c>
    </row>
    <row r="357" spans="1:42" x14ac:dyDescent="0.3">
      <c r="A357" s="11" t="s">
        <v>1330</v>
      </c>
      <c r="B357" s="8" t="s">
        <v>25</v>
      </c>
      <c r="C357" s="9"/>
      <c r="D357" s="10">
        <v>93</v>
      </c>
      <c r="E357" s="11" t="s">
        <v>1331</v>
      </c>
      <c r="F357" s="11"/>
      <c r="G357" s="11"/>
      <c r="H357" s="12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M357" s="18"/>
    </row>
    <row r="358" spans="1:42" x14ac:dyDescent="0.3">
      <c r="A358" s="8" t="s">
        <v>1332</v>
      </c>
      <c r="B358" s="8" t="s">
        <v>105</v>
      </c>
      <c r="C358" s="8"/>
      <c r="D358" s="10">
        <v>94</v>
      </c>
      <c r="E358" s="11" t="s">
        <v>1333</v>
      </c>
      <c r="F358" s="11"/>
      <c r="G358" s="11"/>
      <c r="H358" s="12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M358" s="18"/>
    </row>
    <row r="359" spans="1:42" x14ac:dyDescent="0.3">
      <c r="A359" s="8" t="s">
        <v>1334</v>
      </c>
      <c r="B359" s="8" t="s">
        <v>105</v>
      </c>
      <c r="C359" s="8"/>
      <c r="D359" s="10">
        <v>94</v>
      </c>
      <c r="E359" s="11" t="s">
        <v>1335</v>
      </c>
      <c r="F359" s="11"/>
      <c r="G359" s="11"/>
      <c r="H359" s="25" t="s">
        <v>1336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M359" s="18"/>
    </row>
    <row r="360" spans="1:42" x14ac:dyDescent="0.3">
      <c r="A360" s="8" t="s">
        <v>104</v>
      </c>
      <c r="B360" s="8" t="s">
        <v>105</v>
      </c>
      <c r="C360" s="9" t="s">
        <v>1337</v>
      </c>
      <c r="D360" s="10">
        <v>94</v>
      </c>
      <c r="E360" s="11" t="s">
        <v>1338</v>
      </c>
      <c r="F360" s="11"/>
      <c r="G360" s="11"/>
      <c r="H360" s="25" t="s">
        <v>1339</v>
      </c>
      <c r="I360" s="13">
        <v>300</v>
      </c>
      <c r="J360" s="13"/>
      <c r="K360" s="13">
        <v>300</v>
      </c>
      <c r="L360" s="13"/>
      <c r="M360" s="13">
        <v>300</v>
      </c>
      <c r="N360" s="13"/>
      <c r="O360" s="13">
        <v>300</v>
      </c>
      <c r="P360" s="13"/>
      <c r="Q360" s="13">
        <v>300</v>
      </c>
      <c r="R360" s="13"/>
      <c r="S360" s="13">
        <v>300</v>
      </c>
      <c r="T360" s="13"/>
      <c r="U360" s="13">
        <v>300</v>
      </c>
      <c r="V360" s="13"/>
      <c r="W360" s="13">
        <v>300</v>
      </c>
      <c r="X360" s="13"/>
      <c r="Y360" s="13">
        <v>300</v>
      </c>
      <c r="Z360" s="13"/>
      <c r="AA360" s="13">
        <v>300</v>
      </c>
      <c r="AB360" s="13"/>
      <c r="AC360" s="13">
        <v>300</v>
      </c>
      <c r="AD360" s="13"/>
      <c r="AE360" s="13">
        <v>300</v>
      </c>
      <c r="AF360" s="13"/>
      <c r="AG360" s="13">
        <v>300</v>
      </c>
      <c r="AH360" s="13">
        <v>500</v>
      </c>
      <c r="AI360">
        <v>300</v>
      </c>
      <c r="AK360">
        <v>300</v>
      </c>
      <c r="AM360" s="18" t="s">
        <v>500</v>
      </c>
      <c r="AN360">
        <v>500</v>
      </c>
      <c r="AO360" s="7">
        <v>1</v>
      </c>
      <c r="AP360" s="27">
        <v>500</v>
      </c>
    </row>
    <row r="361" spans="1:42" x14ac:dyDescent="0.3">
      <c r="A361" s="8" t="s">
        <v>1340</v>
      </c>
      <c r="B361" s="8" t="s">
        <v>105</v>
      </c>
      <c r="C361" s="9"/>
      <c r="D361" s="10">
        <v>94</v>
      </c>
      <c r="E361" s="11" t="s">
        <v>1341</v>
      </c>
      <c r="F361" s="11"/>
      <c r="G361" s="11"/>
      <c r="H361" s="25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M361" s="18"/>
    </row>
    <row r="362" spans="1:42" x14ac:dyDescent="0.3">
      <c r="A362" s="8" t="s">
        <v>1342</v>
      </c>
      <c r="B362" s="8" t="s">
        <v>150</v>
      </c>
      <c r="C362" s="8"/>
      <c r="D362" s="10">
        <v>94</v>
      </c>
      <c r="E362" s="11" t="s">
        <v>1343</v>
      </c>
      <c r="F362" s="11"/>
      <c r="G362" s="11"/>
      <c r="H362" s="25" t="s">
        <v>1344</v>
      </c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M362" s="18"/>
    </row>
    <row r="363" spans="1:42" x14ac:dyDescent="0.3">
      <c r="A363" s="8" t="s">
        <v>1345</v>
      </c>
      <c r="B363" s="8" t="s">
        <v>249</v>
      </c>
      <c r="C363" s="8"/>
      <c r="D363" s="10">
        <v>95</v>
      </c>
      <c r="E363" s="11" t="s">
        <v>1346</v>
      </c>
      <c r="F363" s="11"/>
      <c r="G363" s="11"/>
      <c r="H363" s="25" t="s">
        <v>1347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M363" s="18"/>
    </row>
    <row r="364" spans="1:42" x14ac:dyDescent="0.3">
      <c r="A364" s="8" t="s">
        <v>1348</v>
      </c>
      <c r="B364" s="8" t="s">
        <v>249</v>
      </c>
      <c r="C364" s="8"/>
      <c r="D364" s="10">
        <v>95</v>
      </c>
      <c r="E364" s="11" t="s">
        <v>1346</v>
      </c>
      <c r="F364" s="11"/>
      <c r="G364" s="11"/>
      <c r="H364" s="25" t="s">
        <v>1347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M364" s="18"/>
    </row>
    <row r="365" spans="1:42" x14ac:dyDescent="0.3">
      <c r="A365" s="8" t="s">
        <v>1349</v>
      </c>
      <c r="B365" s="8" t="s">
        <v>25</v>
      </c>
      <c r="C365" s="8"/>
      <c r="D365" s="10">
        <v>95</v>
      </c>
      <c r="E365" s="11"/>
      <c r="F365" s="11"/>
      <c r="G365" s="11"/>
      <c r="H365" s="12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M365" s="18"/>
    </row>
    <row r="366" spans="1:42" x14ac:dyDescent="0.3">
      <c r="A366" s="8" t="s">
        <v>1350</v>
      </c>
      <c r="B366" s="11" t="s">
        <v>452</v>
      </c>
      <c r="C366" s="11"/>
      <c r="D366" s="10">
        <v>96</v>
      </c>
      <c r="E366" s="11" t="s">
        <v>1351</v>
      </c>
      <c r="F366" s="11"/>
      <c r="G366" s="11"/>
      <c r="H366" s="25" t="s">
        <v>1352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M366" s="18"/>
    </row>
    <row r="367" spans="1:42" x14ac:dyDescent="0.3">
      <c r="A367" s="8" t="s">
        <v>181</v>
      </c>
      <c r="B367" s="8" t="s">
        <v>105</v>
      </c>
      <c r="C367" s="8"/>
      <c r="D367" s="10">
        <v>96</v>
      </c>
      <c r="E367" s="11" t="s">
        <v>1353</v>
      </c>
      <c r="F367" s="11"/>
      <c r="G367" s="11"/>
      <c r="H367" s="12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>
        <v>1000</v>
      </c>
      <c r="AM367" s="18" t="s">
        <v>500</v>
      </c>
      <c r="AN367">
        <v>510</v>
      </c>
      <c r="AP367" s="27">
        <v>1000</v>
      </c>
    </row>
    <row r="368" spans="1:42" x14ac:dyDescent="0.3">
      <c r="A368" s="8" t="s">
        <v>1354</v>
      </c>
      <c r="B368" s="8" t="s">
        <v>249</v>
      </c>
      <c r="C368" s="8"/>
      <c r="D368" s="10">
        <v>97</v>
      </c>
      <c r="E368" s="11" t="s">
        <v>1355</v>
      </c>
      <c r="F368" s="11"/>
      <c r="G368" s="11"/>
      <c r="H368" s="25" t="s">
        <v>1356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M368" s="18"/>
    </row>
    <row r="369" spans="1:42" x14ac:dyDescent="0.3">
      <c r="A369" s="8" t="s">
        <v>1357</v>
      </c>
      <c r="B369" s="8" t="s">
        <v>249</v>
      </c>
      <c r="C369" s="8"/>
      <c r="D369" s="10">
        <v>97</v>
      </c>
      <c r="E369" s="11" t="s">
        <v>1358</v>
      </c>
      <c r="F369" s="11"/>
      <c r="G369" s="11"/>
      <c r="H369" s="12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M369" s="18"/>
    </row>
    <row r="370" spans="1:42" x14ac:dyDescent="0.3">
      <c r="A370" s="8" t="s">
        <v>1359</v>
      </c>
      <c r="B370" s="8" t="s">
        <v>249</v>
      </c>
      <c r="C370" s="8"/>
      <c r="D370" s="10">
        <v>97</v>
      </c>
      <c r="E370" s="11" t="s">
        <v>1360</v>
      </c>
      <c r="F370" s="11"/>
      <c r="G370" s="11"/>
      <c r="H370" s="12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M370" s="18"/>
    </row>
    <row r="371" spans="1:42" x14ac:dyDescent="0.3">
      <c r="A371" s="8" t="s">
        <v>1361</v>
      </c>
      <c r="B371" s="8" t="s">
        <v>249</v>
      </c>
      <c r="C371" s="9"/>
      <c r="D371" s="10">
        <v>97</v>
      </c>
      <c r="E371" s="11" t="s">
        <v>1362</v>
      </c>
      <c r="F371" s="11"/>
      <c r="G371" s="11"/>
      <c r="H371" s="12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M371" s="18"/>
    </row>
    <row r="372" spans="1:42" x14ac:dyDescent="0.3">
      <c r="A372" s="8" t="s">
        <v>1363</v>
      </c>
      <c r="B372" s="8" t="s">
        <v>150</v>
      </c>
      <c r="C372" s="8"/>
      <c r="D372" s="10">
        <v>97</v>
      </c>
      <c r="E372" s="11" t="s">
        <v>1364</v>
      </c>
      <c r="F372" s="11"/>
      <c r="G372" s="11"/>
      <c r="H372" s="25" t="s">
        <v>1365</v>
      </c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M372" s="18"/>
    </row>
    <row r="373" spans="1:42" x14ac:dyDescent="0.3">
      <c r="A373" s="8" t="s">
        <v>1366</v>
      </c>
      <c r="B373" s="8" t="s">
        <v>105</v>
      </c>
      <c r="C373" s="8"/>
      <c r="D373" s="10">
        <v>98</v>
      </c>
      <c r="E373" s="11" t="s">
        <v>1367</v>
      </c>
      <c r="F373" s="11"/>
      <c r="G373" s="11"/>
      <c r="H373" s="25" t="s">
        <v>1368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M373" s="18"/>
    </row>
    <row r="374" spans="1:42" x14ac:dyDescent="0.3">
      <c r="A374" s="8" t="s">
        <v>1369</v>
      </c>
      <c r="B374" s="8" t="s">
        <v>150</v>
      </c>
      <c r="C374" s="8"/>
      <c r="D374" s="10">
        <v>98</v>
      </c>
      <c r="E374" s="11" t="s">
        <v>1370</v>
      </c>
      <c r="F374" s="11"/>
      <c r="G374" s="11"/>
      <c r="H374" s="25" t="s">
        <v>1371</v>
      </c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M374" s="18"/>
    </row>
    <row r="375" spans="1:42" x14ac:dyDescent="0.3">
      <c r="A375" s="8" t="s">
        <v>1372</v>
      </c>
      <c r="B375" s="8" t="s">
        <v>150</v>
      </c>
      <c r="C375" s="8"/>
      <c r="D375" s="10">
        <v>98</v>
      </c>
      <c r="E375" s="11" t="s">
        <v>1373</v>
      </c>
      <c r="F375" s="11"/>
      <c r="G375" s="11"/>
      <c r="H375" s="25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M375" s="18"/>
    </row>
    <row r="376" spans="1:42" x14ac:dyDescent="0.3">
      <c r="A376" s="41" t="s">
        <v>1374</v>
      </c>
      <c r="B376" s="41" t="s">
        <v>1375</v>
      </c>
      <c r="C376" s="41"/>
      <c r="D376" s="42">
        <v>98</v>
      </c>
      <c r="E376" s="41" t="s">
        <v>1376</v>
      </c>
      <c r="F376" s="41"/>
      <c r="G376" s="41"/>
      <c r="H376" s="25" t="s">
        <v>1377</v>
      </c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M376" s="18"/>
    </row>
    <row r="377" spans="1:42" x14ac:dyDescent="0.3">
      <c r="A377" s="8" t="s">
        <v>1378</v>
      </c>
      <c r="B377" s="8" t="s">
        <v>249</v>
      </c>
      <c r="C377" s="8" t="s">
        <v>506</v>
      </c>
      <c r="D377" s="10">
        <v>99</v>
      </c>
      <c r="E377" s="11" t="s">
        <v>1379</v>
      </c>
      <c r="F377" s="11"/>
      <c r="G377" s="11"/>
      <c r="H377" s="19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M377" s="18"/>
    </row>
    <row r="378" spans="1:42" x14ac:dyDescent="0.3">
      <c r="A378" s="8" t="s">
        <v>1380</v>
      </c>
      <c r="B378" s="8" t="s">
        <v>105</v>
      </c>
      <c r="C378" s="8"/>
      <c r="D378" s="10">
        <v>100</v>
      </c>
      <c r="E378" s="11" t="s">
        <v>1381</v>
      </c>
      <c r="F378" s="11"/>
      <c r="G378" s="11"/>
      <c r="H378" s="12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M378" s="18"/>
    </row>
    <row r="379" spans="1:42" x14ac:dyDescent="0.3">
      <c r="A379" s="8" t="s">
        <v>127</v>
      </c>
      <c r="B379" s="8" t="s">
        <v>105</v>
      </c>
      <c r="C379" s="8" t="s">
        <v>126</v>
      </c>
      <c r="D379" s="10">
        <v>100</v>
      </c>
      <c r="E379" s="11" t="s">
        <v>1382</v>
      </c>
      <c r="F379" s="11"/>
      <c r="G379" s="11"/>
      <c r="H379" s="25" t="s">
        <v>1383</v>
      </c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>
        <v>500</v>
      </c>
      <c r="AM379" s="18" t="s">
        <v>500</v>
      </c>
      <c r="AP379" s="27">
        <v>500</v>
      </c>
    </row>
    <row r="380" spans="1:42" x14ac:dyDescent="0.3">
      <c r="A380" s="8" t="s">
        <v>1384</v>
      </c>
      <c r="B380" s="8" t="s">
        <v>150</v>
      </c>
      <c r="C380" s="8"/>
      <c r="D380" s="10">
        <v>100</v>
      </c>
      <c r="E380" s="11" t="s">
        <v>1385</v>
      </c>
      <c r="F380" s="11"/>
      <c r="G380" s="11"/>
      <c r="H380" s="19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M380" s="18"/>
    </row>
    <row r="381" spans="1:42" x14ac:dyDescent="0.3">
      <c r="A381" s="8" t="s">
        <v>149</v>
      </c>
      <c r="B381" s="8" t="s">
        <v>150</v>
      </c>
      <c r="C381" s="8"/>
      <c r="D381" s="10">
        <v>100</v>
      </c>
      <c r="E381" s="11" t="s">
        <v>1386</v>
      </c>
      <c r="F381" s="11"/>
      <c r="G381" s="11"/>
      <c r="H381" s="25" t="s">
        <v>1387</v>
      </c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13">
        <v>500</v>
      </c>
      <c r="AM381" s="18" t="s">
        <v>500</v>
      </c>
      <c r="AP381" s="27">
        <v>500</v>
      </c>
    </row>
    <row r="382" spans="1:42" x14ac:dyDescent="0.3">
      <c r="A382" s="8" t="s">
        <v>1388</v>
      </c>
      <c r="B382" s="8" t="s">
        <v>249</v>
      </c>
      <c r="C382" s="9" t="s">
        <v>1389</v>
      </c>
      <c r="D382" s="10">
        <v>101</v>
      </c>
      <c r="E382" s="11" t="s">
        <v>1390</v>
      </c>
      <c r="F382" s="11" t="s">
        <v>1391</v>
      </c>
      <c r="G382" s="11"/>
      <c r="H382" s="26" t="s">
        <v>1392</v>
      </c>
      <c r="I382" s="13">
        <v>350</v>
      </c>
      <c r="J382" s="13"/>
      <c r="K382" s="13">
        <v>350</v>
      </c>
      <c r="L382" s="13"/>
      <c r="M382" s="13">
        <v>350</v>
      </c>
      <c r="N382" s="13"/>
      <c r="O382" s="13">
        <v>350</v>
      </c>
      <c r="P382" s="13"/>
      <c r="Q382" s="13">
        <v>350</v>
      </c>
      <c r="R382" s="13"/>
      <c r="S382" s="13">
        <v>350</v>
      </c>
      <c r="T382" s="13"/>
      <c r="U382" s="13">
        <v>350</v>
      </c>
      <c r="V382" s="13"/>
      <c r="W382" s="13">
        <v>350</v>
      </c>
      <c r="X382" s="13"/>
      <c r="Y382" s="13">
        <v>350</v>
      </c>
      <c r="Z382" s="13"/>
      <c r="AA382" s="13">
        <v>350</v>
      </c>
      <c r="AB382" s="13"/>
      <c r="AC382" s="13">
        <v>350</v>
      </c>
      <c r="AD382" s="13"/>
      <c r="AE382" s="13">
        <v>350</v>
      </c>
      <c r="AF382" s="13"/>
      <c r="AG382" s="13">
        <v>350</v>
      </c>
      <c r="AH382" s="13"/>
      <c r="AI382">
        <v>350</v>
      </c>
      <c r="AK382">
        <v>350</v>
      </c>
      <c r="AM382" s="18"/>
      <c r="AO382" s="7">
        <v>1</v>
      </c>
    </row>
    <row r="383" spans="1:42" x14ac:dyDescent="0.3">
      <c r="A383" s="8" t="s">
        <v>1393</v>
      </c>
      <c r="B383" s="8" t="s">
        <v>150</v>
      </c>
      <c r="C383" s="8"/>
      <c r="D383" s="10">
        <v>101</v>
      </c>
      <c r="E383" s="11" t="s">
        <v>1394</v>
      </c>
      <c r="F383" s="11"/>
      <c r="G383" s="11"/>
      <c r="H383" s="25" t="s">
        <v>1395</v>
      </c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M383" s="18"/>
    </row>
    <row r="384" spans="1:42" x14ac:dyDescent="0.3">
      <c r="A384" s="31" t="s">
        <v>1396</v>
      </c>
      <c r="B384" s="8" t="s">
        <v>29</v>
      </c>
      <c r="C384" s="8"/>
      <c r="D384" s="23">
        <v>102</v>
      </c>
      <c r="E384" s="53" t="s">
        <v>1397</v>
      </c>
      <c r="F384" s="53"/>
      <c r="G384" s="24"/>
      <c r="H384" s="25" t="s">
        <v>1398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M384" s="18"/>
    </row>
    <row r="385" spans="1:281" x14ac:dyDescent="0.3">
      <c r="A385" s="8" t="s">
        <v>1399</v>
      </c>
      <c r="B385" s="8" t="s">
        <v>150</v>
      </c>
      <c r="C385" s="8"/>
      <c r="D385" s="10">
        <v>102</v>
      </c>
      <c r="E385" s="11" t="s">
        <v>1400</v>
      </c>
      <c r="F385" s="11" t="s">
        <v>1401</v>
      </c>
      <c r="G385" s="11"/>
      <c r="H385" s="25" t="s">
        <v>1402</v>
      </c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M385" s="18"/>
    </row>
    <row r="386" spans="1:281" x14ac:dyDescent="0.3">
      <c r="A386" s="8" t="s">
        <v>1403</v>
      </c>
      <c r="B386" s="8" t="s">
        <v>29</v>
      </c>
      <c r="C386" s="8"/>
      <c r="D386" s="10">
        <v>103</v>
      </c>
      <c r="E386" s="11" t="s">
        <v>1404</v>
      </c>
      <c r="F386" s="11"/>
      <c r="G386" s="11"/>
      <c r="H386" s="25" t="s">
        <v>1405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M386" s="18"/>
    </row>
    <row r="387" spans="1:281" x14ac:dyDescent="0.3">
      <c r="A387" s="8" t="s">
        <v>1406</v>
      </c>
      <c r="B387" s="8" t="s">
        <v>150</v>
      </c>
      <c r="C387" s="8"/>
      <c r="D387" s="10">
        <v>103</v>
      </c>
      <c r="E387" s="11" t="s">
        <v>1407</v>
      </c>
      <c r="F387" s="11" t="s">
        <v>1408</v>
      </c>
      <c r="G387" s="11"/>
      <c r="H387" s="12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M387" s="18"/>
      <c r="AN387" s="7"/>
      <c r="AO387" s="7"/>
      <c r="AP387" s="54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</row>
    <row r="388" spans="1:281" x14ac:dyDescent="0.3">
      <c r="A388" s="8" t="s">
        <v>1409</v>
      </c>
      <c r="B388" s="8" t="s">
        <v>150</v>
      </c>
      <c r="C388" s="8"/>
      <c r="D388" s="10">
        <v>103</v>
      </c>
      <c r="E388" s="11" t="s">
        <v>1410</v>
      </c>
      <c r="F388" s="11"/>
      <c r="G388" s="11"/>
      <c r="H388" s="12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M388" s="18"/>
      <c r="AN388" s="7"/>
      <c r="AO388" s="7"/>
      <c r="AP388" s="54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</row>
    <row r="389" spans="1:281" x14ac:dyDescent="0.3">
      <c r="A389" s="31" t="s">
        <v>1411</v>
      </c>
      <c r="B389" s="31" t="s">
        <v>249</v>
      </c>
      <c r="C389" s="9" t="s">
        <v>1412</v>
      </c>
      <c r="D389" s="23">
        <v>104</v>
      </c>
      <c r="E389" s="53" t="s">
        <v>1413</v>
      </c>
      <c r="F389" s="53" t="s">
        <v>1414</v>
      </c>
      <c r="G389" s="53"/>
      <c r="H389" s="25" t="s">
        <v>1415</v>
      </c>
      <c r="I389" s="13">
        <v>350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M389" s="18"/>
      <c r="AN389" s="7"/>
      <c r="AO389" s="7"/>
      <c r="AP389" s="54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</row>
    <row r="390" spans="1:281" x14ac:dyDescent="0.3">
      <c r="A390" s="31" t="s">
        <v>1416</v>
      </c>
      <c r="B390" s="31" t="s">
        <v>249</v>
      </c>
      <c r="C390" s="9"/>
      <c r="D390" s="23">
        <v>104</v>
      </c>
      <c r="E390" s="53" t="s">
        <v>1417</v>
      </c>
      <c r="F390" s="53"/>
      <c r="G390" s="53"/>
      <c r="H390" s="25" t="s">
        <v>1418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M390" s="18"/>
    </row>
    <row r="391" spans="1:281" x14ac:dyDescent="0.3">
      <c r="A391" s="8" t="s">
        <v>1419</v>
      </c>
      <c r="B391" s="8" t="s">
        <v>150</v>
      </c>
      <c r="C391" s="8"/>
      <c r="D391" s="10">
        <v>104</v>
      </c>
      <c r="E391" s="11" t="s">
        <v>1420</v>
      </c>
      <c r="F391" s="11"/>
      <c r="G391" s="11"/>
      <c r="H391" s="25" t="s">
        <v>1421</v>
      </c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M391" s="18"/>
    </row>
    <row r="392" spans="1:281" x14ac:dyDescent="0.3">
      <c r="A392" s="8" t="s">
        <v>1422</v>
      </c>
      <c r="B392" s="8" t="s">
        <v>150</v>
      </c>
      <c r="C392" s="8"/>
      <c r="D392" s="10">
        <v>104</v>
      </c>
      <c r="E392" s="11" t="s">
        <v>1423</v>
      </c>
      <c r="F392" s="11"/>
      <c r="G392" s="11"/>
      <c r="H392" s="25" t="s">
        <v>1424</v>
      </c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M392" s="18"/>
    </row>
    <row r="393" spans="1:281" x14ac:dyDescent="0.3">
      <c r="A393" s="8" t="s">
        <v>1425</v>
      </c>
      <c r="B393" s="8" t="s">
        <v>150</v>
      </c>
      <c r="C393" s="8"/>
      <c r="D393" s="10">
        <v>104</v>
      </c>
      <c r="E393" s="11" t="s">
        <v>1426</v>
      </c>
      <c r="F393" s="11"/>
      <c r="G393" s="11"/>
      <c r="H393" s="26" t="s">
        <v>1427</v>
      </c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M393" s="18"/>
    </row>
    <row r="394" spans="1:281" x14ac:dyDescent="0.3">
      <c r="A394" s="8" t="s">
        <v>1428</v>
      </c>
      <c r="B394" s="8" t="s">
        <v>150</v>
      </c>
      <c r="C394" s="8"/>
      <c r="D394" s="10">
        <v>105</v>
      </c>
      <c r="E394" s="11" t="s">
        <v>1429</v>
      </c>
      <c r="F394" s="11"/>
      <c r="G394" s="11"/>
      <c r="H394" s="12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M394" s="18"/>
    </row>
    <row r="395" spans="1:281" x14ac:dyDescent="0.3">
      <c r="A395" s="8" t="s">
        <v>1430</v>
      </c>
      <c r="B395" s="8" t="s">
        <v>249</v>
      </c>
      <c r="C395" s="8" t="s">
        <v>506</v>
      </c>
      <c r="D395" s="10">
        <v>106</v>
      </c>
      <c r="E395" s="11" t="s">
        <v>1431</v>
      </c>
      <c r="F395" s="11"/>
      <c r="G395" s="11"/>
      <c r="H395" s="19" t="s">
        <v>1432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M395" s="18"/>
    </row>
    <row r="396" spans="1:281" x14ac:dyDescent="0.3">
      <c r="A396" s="31" t="s">
        <v>188</v>
      </c>
      <c r="B396" s="31" t="s">
        <v>249</v>
      </c>
      <c r="C396" s="31" t="s">
        <v>1433</v>
      </c>
      <c r="D396" s="10">
        <v>108</v>
      </c>
      <c r="E396" s="11"/>
      <c r="F396" s="11"/>
      <c r="G396" s="11"/>
      <c r="H396" s="19"/>
      <c r="I396" s="13"/>
      <c r="J396" s="13"/>
      <c r="K396" s="13"/>
      <c r="L396" s="13"/>
      <c r="M396" s="13"/>
      <c r="N396" s="13">
        <v>200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>
        <v>150</v>
      </c>
      <c r="AG396" s="13"/>
      <c r="AH396" s="13">
        <f>200+300</f>
        <v>500</v>
      </c>
      <c r="AJ396">
        <v>150</v>
      </c>
      <c r="AL396">
        <v>150</v>
      </c>
      <c r="AM396" s="18" t="s">
        <v>500</v>
      </c>
      <c r="AN396" s="7">
        <v>300</v>
      </c>
      <c r="AO396" s="7">
        <v>1</v>
      </c>
      <c r="AP396" s="27">
        <v>300</v>
      </c>
    </row>
    <row r="397" spans="1:281" x14ac:dyDescent="0.3">
      <c r="A397" s="8" t="s">
        <v>1434</v>
      </c>
      <c r="B397" s="8" t="s">
        <v>150</v>
      </c>
      <c r="C397" s="8"/>
      <c r="D397" s="10">
        <v>108</v>
      </c>
      <c r="E397" s="11" t="s">
        <v>1435</v>
      </c>
      <c r="F397" s="11"/>
      <c r="G397" s="11"/>
      <c r="H397" s="12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M397" s="18"/>
    </row>
    <row r="398" spans="1:281" x14ac:dyDescent="0.3">
      <c r="A398" s="8" t="s">
        <v>1436</v>
      </c>
      <c r="B398" s="11" t="s">
        <v>39</v>
      </c>
      <c r="C398" s="11"/>
      <c r="D398" s="10">
        <v>109</v>
      </c>
      <c r="E398" s="11" t="s">
        <v>1437</v>
      </c>
      <c r="F398" s="11"/>
      <c r="G398" s="11"/>
      <c r="H398" s="12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M398" s="18"/>
    </row>
    <row r="399" spans="1:281" x14ac:dyDescent="0.3">
      <c r="A399" s="31" t="s">
        <v>173</v>
      </c>
      <c r="B399" s="31" t="s">
        <v>249</v>
      </c>
      <c r="C399" s="31" t="s">
        <v>506</v>
      </c>
      <c r="D399" s="23">
        <v>110</v>
      </c>
      <c r="E399" s="53" t="s">
        <v>1438</v>
      </c>
      <c r="F399" s="53"/>
      <c r="G399" s="53"/>
      <c r="H399" s="25" t="s">
        <v>1439</v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>
        <v>350</v>
      </c>
      <c r="AC399" s="13"/>
      <c r="AD399" s="13"/>
      <c r="AE399" s="13"/>
      <c r="AF399" s="13">
        <v>300</v>
      </c>
      <c r="AG399" s="13"/>
      <c r="AH399" s="13">
        <v>350</v>
      </c>
      <c r="AM399" s="18"/>
      <c r="AO399" s="7">
        <v>1</v>
      </c>
    </row>
    <row r="400" spans="1:281" x14ac:dyDescent="0.3">
      <c r="A400" s="8" t="s">
        <v>1440</v>
      </c>
      <c r="B400" s="11" t="s">
        <v>39</v>
      </c>
      <c r="C400" s="11"/>
      <c r="D400" s="10">
        <v>111</v>
      </c>
      <c r="E400" s="11" t="s">
        <v>1441</v>
      </c>
      <c r="F400" s="11"/>
      <c r="G400" s="11"/>
      <c r="H400" s="19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M400" s="18"/>
    </row>
    <row r="401" spans="1:41" x14ac:dyDescent="0.3">
      <c r="A401" s="8" t="s">
        <v>1442</v>
      </c>
      <c r="B401" s="11" t="s">
        <v>39</v>
      </c>
      <c r="C401" s="11"/>
      <c r="D401" s="10">
        <v>111</v>
      </c>
      <c r="E401" s="11" t="s">
        <v>1443</v>
      </c>
      <c r="F401" s="11"/>
      <c r="G401" s="11"/>
      <c r="H401" s="25" t="s">
        <v>1444</v>
      </c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M401" s="18"/>
    </row>
    <row r="402" spans="1:41" x14ac:dyDescent="0.3">
      <c r="A402" s="8" t="s">
        <v>1445</v>
      </c>
      <c r="B402" s="11" t="s">
        <v>39</v>
      </c>
      <c r="C402" s="11"/>
      <c r="D402" s="10">
        <v>111</v>
      </c>
      <c r="E402" s="11" t="s">
        <v>1446</v>
      </c>
      <c r="F402" s="11"/>
      <c r="G402" s="11"/>
      <c r="H402" s="25" t="s">
        <v>1447</v>
      </c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M402" s="18"/>
    </row>
    <row r="403" spans="1:41" x14ac:dyDescent="0.3">
      <c r="A403" s="8" t="s">
        <v>1448</v>
      </c>
      <c r="B403" s="8" t="s">
        <v>249</v>
      </c>
      <c r="C403" s="8"/>
      <c r="D403" s="10">
        <v>112</v>
      </c>
      <c r="E403" s="11" t="s">
        <v>1449</v>
      </c>
      <c r="F403" s="11"/>
      <c r="G403" s="11"/>
      <c r="H403" s="25" t="s">
        <v>1450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M403" s="18"/>
    </row>
    <row r="404" spans="1:41" x14ac:dyDescent="0.3">
      <c r="A404" s="8" t="s">
        <v>1451</v>
      </c>
      <c r="B404" s="11" t="s">
        <v>39</v>
      </c>
      <c r="C404" s="11"/>
      <c r="D404" s="10">
        <v>113</v>
      </c>
      <c r="E404" s="11" t="s">
        <v>1452</v>
      </c>
      <c r="F404" s="11"/>
      <c r="G404" s="11"/>
      <c r="H404" s="26" t="s">
        <v>1453</v>
      </c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M404" s="18"/>
    </row>
    <row r="405" spans="1:41" x14ac:dyDescent="0.3">
      <c r="A405" s="8" t="s">
        <v>1454</v>
      </c>
      <c r="B405" s="8" t="s">
        <v>249</v>
      </c>
      <c r="C405" s="8"/>
      <c r="D405" s="10">
        <v>114</v>
      </c>
      <c r="E405" s="11" t="s">
        <v>1455</v>
      </c>
      <c r="F405" s="11"/>
      <c r="G405" s="11"/>
      <c r="H405" s="25" t="s">
        <v>1456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M405" s="18"/>
    </row>
    <row r="406" spans="1:41" x14ac:dyDescent="0.3">
      <c r="A406" s="8" t="s">
        <v>1457</v>
      </c>
      <c r="B406" s="8" t="s">
        <v>249</v>
      </c>
      <c r="C406" s="8"/>
      <c r="D406" s="10">
        <v>114</v>
      </c>
      <c r="E406" s="11" t="s">
        <v>1458</v>
      </c>
      <c r="F406" s="11"/>
      <c r="G406" s="11"/>
      <c r="H406" s="25" t="s">
        <v>1459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M406" s="18"/>
    </row>
    <row r="407" spans="1:41" x14ac:dyDescent="0.3">
      <c r="A407" s="8" t="s">
        <v>1460</v>
      </c>
      <c r="B407" s="8" t="s">
        <v>249</v>
      </c>
      <c r="C407" s="8"/>
      <c r="D407" s="10">
        <v>114</v>
      </c>
      <c r="E407" s="11" t="s">
        <v>1461</v>
      </c>
      <c r="F407" s="11"/>
      <c r="G407" s="11"/>
      <c r="H407" s="26" t="s">
        <v>1462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M407" s="18"/>
    </row>
    <row r="408" spans="1:41" x14ac:dyDescent="0.3">
      <c r="A408" s="8" t="s">
        <v>1463</v>
      </c>
      <c r="B408" s="8" t="s">
        <v>249</v>
      </c>
      <c r="C408" s="8"/>
      <c r="D408" s="10">
        <v>114</v>
      </c>
      <c r="E408" s="11" t="s">
        <v>1464</v>
      </c>
      <c r="F408" s="11"/>
      <c r="G408" s="11"/>
      <c r="H408" s="25" t="s">
        <v>1465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M408" s="18"/>
    </row>
    <row r="409" spans="1:41" x14ac:dyDescent="0.3">
      <c r="A409" s="8" t="s">
        <v>1466</v>
      </c>
      <c r="B409" s="11" t="s">
        <v>39</v>
      </c>
      <c r="C409" s="9" t="s">
        <v>1467</v>
      </c>
      <c r="D409" s="10">
        <v>115</v>
      </c>
      <c r="E409" s="11" t="s">
        <v>1468</v>
      </c>
      <c r="F409" s="11"/>
      <c r="G409" s="11"/>
      <c r="H409" s="26" t="s">
        <v>1469</v>
      </c>
      <c r="I409" s="13">
        <v>363</v>
      </c>
      <c r="J409" s="13"/>
      <c r="K409" s="13">
        <v>363</v>
      </c>
      <c r="L409" s="13"/>
      <c r="M409" s="13">
        <v>363</v>
      </c>
      <c r="N409" s="13"/>
      <c r="O409" s="13">
        <v>363</v>
      </c>
      <c r="P409" s="13"/>
      <c r="Q409" s="13">
        <v>363</v>
      </c>
      <c r="R409" s="13"/>
      <c r="S409" s="13">
        <v>363</v>
      </c>
      <c r="T409" s="13"/>
      <c r="U409" s="13">
        <v>363</v>
      </c>
      <c r="V409" s="13"/>
      <c r="W409" s="13">
        <v>363</v>
      </c>
      <c r="X409" s="13"/>
      <c r="Y409" s="13">
        <v>363</v>
      </c>
      <c r="Z409" s="13"/>
      <c r="AA409" s="13">
        <v>363</v>
      </c>
      <c r="AB409" s="13"/>
      <c r="AC409" s="13">
        <v>363</v>
      </c>
      <c r="AD409" s="13"/>
      <c r="AE409" s="13">
        <v>363</v>
      </c>
      <c r="AF409" s="13"/>
      <c r="AG409" s="13">
        <v>363</v>
      </c>
      <c r="AH409" s="13"/>
      <c r="AI409">
        <v>363</v>
      </c>
      <c r="AK409">
        <v>363</v>
      </c>
      <c r="AM409" s="18"/>
      <c r="AO409" s="7">
        <v>1</v>
      </c>
    </row>
    <row r="410" spans="1:41" x14ac:dyDescent="0.3">
      <c r="A410" s="8" t="s">
        <v>1470</v>
      </c>
      <c r="B410" s="11" t="s">
        <v>39</v>
      </c>
      <c r="C410" s="9"/>
      <c r="D410" s="10">
        <v>115</v>
      </c>
      <c r="E410" s="11"/>
      <c r="F410" s="11"/>
      <c r="G410" s="11"/>
      <c r="H410" s="12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M410" s="18"/>
    </row>
    <row r="411" spans="1:41" x14ac:dyDescent="0.3">
      <c r="A411" s="8" t="s">
        <v>20</v>
      </c>
      <c r="B411" s="8" t="s">
        <v>249</v>
      </c>
      <c r="C411" s="8" t="s">
        <v>506</v>
      </c>
      <c r="D411" s="10">
        <v>116</v>
      </c>
      <c r="E411" s="11" t="s">
        <v>1471</v>
      </c>
      <c r="F411" s="11" t="s">
        <v>1472</v>
      </c>
      <c r="G411" s="11"/>
      <c r="H411" s="26" t="s">
        <v>1473</v>
      </c>
      <c r="I411" s="13"/>
      <c r="J411" s="13">
        <v>300</v>
      </c>
      <c r="K411" s="13"/>
      <c r="L411" s="13"/>
      <c r="M411" s="13"/>
      <c r="N411" s="13">
        <v>300</v>
      </c>
      <c r="O411" s="13"/>
      <c r="P411" s="13">
        <v>300</v>
      </c>
      <c r="Q411" s="13"/>
      <c r="R411" s="13"/>
      <c r="S411" s="13"/>
      <c r="T411" s="13">
        <f>300</f>
        <v>300</v>
      </c>
      <c r="U411" s="13"/>
      <c r="V411" s="13">
        <f>300</f>
        <v>300</v>
      </c>
      <c r="W411" s="13"/>
      <c r="X411" s="13">
        <v>300</v>
      </c>
      <c r="Y411" s="13"/>
      <c r="Z411" s="13">
        <f>300+300</f>
        <v>600</v>
      </c>
      <c r="AA411" s="13"/>
      <c r="AB411" s="13">
        <v>300</v>
      </c>
      <c r="AC411" s="13"/>
      <c r="AD411" s="13"/>
      <c r="AE411" s="13"/>
      <c r="AF411" s="13">
        <v>300</v>
      </c>
      <c r="AG411" s="13"/>
      <c r="AH411" s="13">
        <f>300+300</f>
        <v>600</v>
      </c>
      <c r="AJ411">
        <v>300</v>
      </c>
      <c r="AL411">
        <v>300</v>
      </c>
      <c r="AM411" s="18"/>
      <c r="AO411" s="7">
        <v>1</v>
      </c>
    </row>
    <row r="412" spans="1:41" x14ac:dyDescent="0.3">
      <c r="A412" s="8" t="s">
        <v>1474</v>
      </c>
      <c r="B412" s="8" t="s">
        <v>249</v>
      </c>
      <c r="C412" s="8"/>
      <c r="D412" s="10">
        <v>116</v>
      </c>
      <c r="E412" s="11" t="s">
        <v>1475</v>
      </c>
      <c r="F412" s="11"/>
      <c r="G412" s="11"/>
      <c r="H412" s="25" t="s">
        <v>1476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M412" s="18"/>
    </row>
    <row r="413" spans="1:41" x14ac:dyDescent="0.3">
      <c r="A413" s="8" t="s">
        <v>1477</v>
      </c>
      <c r="B413" s="8" t="s">
        <v>86</v>
      </c>
      <c r="C413" s="8"/>
      <c r="D413" s="10">
        <v>117</v>
      </c>
      <c r="E413" s="11" t="s">
        <v>1478</v>
      </c>
      <c r="F413" s="11"/>
      <c r="G413" s="11"/>
      <c r="H413" s="26" t="s">
        <v>1479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M413" s="18"/>
    </row>
    <row r="414" spans="1:41" x14ac:dyDescent="0.3">
      <c r="A414" s="8" t="s">
        <v>1480</v>
      </c>
      <c r="B414" s="8" t="s">
        <v>86</v>
      </c>
      <c r="C414" s="8"/>
      <c r="D414" s="10">
        <v>117</v>
      </c>
      <c r="E414" s="11" t="s">
        <v>1481</v>
      </c>
      <c r="F414" s="11"/>
      <c r="G414" s="11"/>
      <c r="H414" s="26" t="s">
        <v>1482</v>
      </c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M414" s="18"/>
    </row>
    <row r="415" spans="1:41" x14ac:dyDescent="0.3">
      <c r="A415" s="8" t="s">
        <v>386</v>
      </c>
      <c r="B415" s="8" t="s">
        <v>86</v>
      </c>
      <c r="C415" s="8"/>
      <c r="D415" s="10">
        <v>117</v>
      </c>
      <c r="E415" s="11" t="s">
        <v>1483</v>
      </c>
      <c r="F415" s="11"/>
      <c r="G415" s="11"/>
      <c r="H415" s="26" t="s">
        <v>1484</v>
      </c>
      <c r="I415" s="13">
        <v>400</v>
      </c>
      <c r="J415" s="30"/>
      <c r="K415" s="13">
        <v>400</v>
      </c>
      <c r="L415" s="30"/>
      <c r="M415" s="30"/>
      <c r="N415" s="30"/>
      <c r="O415" s="13">
        <v>400</v>
      </c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M415" s="18"/>
    </row>
    <row r="416" spans="1:41" x14ac:dyDescent="0.3">
      <c r="A416" s="8" t="s">
        <v>1485</v>
      </c>
      <c r="B416" s="8" t="s">
        <v>86</v>
      </c>
      <c r="C416" s="8"/>
      <c r="D416" s="10">
        <v>118</v>
      </c>
      <c r="E416" s="11" t="s">
        <v>1486</v>
      </c>
      <c r="F416" s="11"/>
      <c r="G416" s="11"/>
      <c r="H416" s="12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M416" s="18"/>
    </row>
    <row r="417" spans="1:281" x14ac:dyDescent="0.3">
      <c r="A417" s="8" t="s">
        <v>1487</v>
      </c>
      <c r="B417" s="8" t="s">
        <v>399</v>
      </c>
      <c r="C417" s="8"/>
      <c r="D417" s="10">
        <v>139</v>
      </c>
      <c r="E417" s="11" t="s">
        <v>1488</v>
      </c>
      <c r="F417" s="11"/>
      <c r="G417" s="11"/>
      <c r="H417" s="26" t="s">
        <v>1489</v>
      </c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M417" s="18"/>
    </row>
    <row r="418" spans="1:281" x14ac:dyDescent="0.3">
      <c r="A418" s="8" t="s">
        <v>1490</v>
      </c>
      <c r="B418" s="8" t="s">
        <v>399</v>
      </c>
      <c r="C418" s="8"/>
      <c r="D418" s="10">
        <v>139</v>
      </c>
      <c r="E418" s="11" t="s">
        <v>1491</v>
      </c>
      <c r="F418" s="11"/>
      <c r="G418" s="11"/>
      <c r="H418" s="12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M418" s="18"/>
    </row>
    <row r="419" spans="1:281" x14ac:dyDescent="0.3">
      <c r="A419" s="8" t="s">
        <v>1492</v>
      </c>
      <c r="B419" s="8" t="s">
        <v>399</v>
      </c>
      <c r="C419" s="8"/>
      <c r="D419" s="10">
        <v>139</v>
      </c>
      <c r="E419" s="11" t="s">
        <v>1493</v>
      </c>
      <c r="F419" s="11"/>
      <c r="G419" s="11"/>
      <c r="H419" s="12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M419" s="18"/>
    </row>
    <row r="420" spans="1:281" x14ac:dyDescent="0.3">
      <c r="A420" s="8" t="s">
        <v>1494</v>
      </c>
      <c r="B420" s="8" t="s">
        <v>399</v>
      </c>
      <c r="C420" s="8"/>
      <c r="D420" s="10">
        <v>140</v>
      </c>
      <c r="E420" s="11" t="s">
        <v>1495</v>
      </c>
      <c r="F420" s="11"/>
      <c r="G420" s="11"/>
      <c r="H420" s="12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M420" s="43"/>
      <c r="AN420" s="44"/>
    </row>
    <row r="421" spans="1:281" x14ac:dyDescent="0.3">
      <c r="A421" s="8" t="s">
        <v>1496</v>
      </c>
      <c r="B421" s="8" t="s">
        <v>399</v>
      </c>
      <c r="C421" s="8"/>
      <c r="D421" s="10">
        <v>142</v>
      </c>
      <c r="E421" s="11" t="s">
        <v>1497</v>
      </c>
      <c r="F421" s="11"/>
      <c r="G421" s="11"/>
      <c r="H421" s="25" t="s">
        <v>1498</v>
      </c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M421" s="18"/>
    </row>
    <row r="422" spans="1:281" x14ac:dyDescent="0.3">
      <c r="A422" s="8" t="s">
        <v>1499</v>
      </c>
      <c r="B422" s="8" t="s">
        <v>399</v>
      </c>
      <c r="C422" s="9" t="s">
        <v>1500</v>
      </c>
      <c r="D422" s="10">
        <v>143</v>
      </c>
      <c r="E422" s="11"/>
      <c r="F422" s="11"/>
      <c r="G422" s="11"/>
      <c r="H422" s="12"/>
      <c r="I422" s="13">
        <v>150</v>
      </c>
      <c r="J422" s="13"/>
      <c r="K422" s="13">
        <v>150</v>
      </c>
      <c r="L422" s="13"/>
      <c r="M422" s="13">
        <v>150</v>
      </c>
      <c r="N422" s="13"/>
      <c r="O422" s="13">
        <v>150</v>
      </c>
      <c r="P422" s="13"/>
      <c r="Q422" s="13">
        <v>150</v>
      </c>
      <c r="R422" s="13"/>
      <c r="S422" s="13">
        <v>150</v>
      </c>
      <c r="T422" s="13"/>
      <c r="U422" s="13">
        <v>150</v>
      </c>
      <c r="V422" s="13"/>
      <c r="W422" s="13">
        <v>150</v>
      </c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M422" s="18"/>
    </row>
    <row r="423" spans="1:281" x14ac:dyDescent="0.3">
      <c r="A423" s="8" t="s">
        <v>1501</v>
      </c>
      <c r="B423" s="8" t="s">
        <v>399</v>
      </c>
      <c r="C423" s="9"/>
      <c r="D423" s="10">
        <v>143</v>
      </c>
      <c r="E423" s="11" t="s">
        <v>1502</v>
      </c>
      <c r="F423" s="11"/>
      <c r="G423" s="11"/>
      <c r="H423" s="12" t="s">
        <v>1503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M423" s="18"/>
    </row>
    <row r="424" spans="1:281" x14ac:dyDescent="0.3">
      <c r="A424" s="8" t="s">
        <v>1504</v>
      </c>
      <c r="B424" s="8" t="s">
        <v>1505</v>
      </c>
      <c r="C424" s="8"/>
      <c r="D424" s="10">
        <v>143</v>
      </c>
      <c r="E424" s="11" t="s">
        <v>1506</v>
      </c>
      <c r="F424" s="11"/>
      <c r="G424" s="11"/>
      <c r="H424" s="25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M424" s="18"/>
    </row>
    <row r="425" spans="1:281" x14ac:dyDescent="0.3">
      <c r="A425" s="8" t="s">
        <v>1507</v>
      </c>
      <c r="B425" s="8" t="s">
        <v>399</v>
      </c>
      <c r="C425" s="9"/>
      <c r="D425" s="10">
        <v>144</v>
      </c>
      <c r="E425" s="11" t="s">
        <v>1508</v>
      </c>
      <c r="F425" s="11"/>
      <c r="G425" s="11"/>
      <c r="H425" s="25" t="s">
        <v>1509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M425" s="18"/>
    </row>
    <row r="426" spans="1:281" x14ac:dyDescent="0.3">
      <c r="A426" s="8" t="s">
        <v>1510</v>
      </c>
      <c r="B426" s="8" t="s">
        <v>25</v>
      </c>
      <c r="C426" s="8"/>
      <c r="D426" s="10">
        <v>144</v>
      </c>
      <c r="E426" s="11" t="s">
        <v>1511</v>
      </c>
      <c r="F426" s="11"/>
      <c r="G426" s="11"/>
      <c r="H426" s="12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M426" s="18"/>
    </row>
    <row r="427" spans="1:281" x14ac:dyDescent="0.3">
      <c r="A427" s="8" t="s">
        <v>1512</v>
      </c>
      <c r="B427" s="8" t="s">
        <v>25</v>
      </c>
      <c r="C427" s="8"/>
      <c r="D427" s="10">
        <v>144</v>
      </c>
      <c r="E427" s="11" t="s">
        <v>1513</v>
      </c>
      <c r="F427" s="11"/>
      <c r="G427" s="11"/>
      <c r="H427" s="19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M427" s="18"/>
    </row>
    <row r="428" spans="1:281" x14ac:dyDescent="0.3">
      <c r="A428" s="31" t="s">
        <v>1514</v>
      </c>
      <c r="B428" s="31" t="s">
        <v>279</v>
      </c>
      <c r="C428" s="31"/>
      <c r="D428" s="23">
        <v>149</v>
      </c>
      <c r="E428" s="53" t="s">
        <v>1515</v>
      </c>
      <c r="F428" s="53" t="s">
        <v>1516</v>
      </c>
      <c r="G428" s="24"/>
      <c r="H428" s="25" t="s">
        <v>1517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M428" s="18"/>
      <c r="AO428" s="37"/>
      <c r="AP428" s="36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  <c r="DV428" s="37"/>
      <c r="DW428" s="37"/>
      <c r="DX428" s="37"/>
      <c r="DY428" s="37"/>
      <c r="DZ428" s="37"/>
      <c r="EA428" s="37"/>
      <c r="EB428" s="37"/>
      <c r="EC428" s="37"/>
      <c r="ED428" s="37"/>
      <c r="EE428" s="37"/>
      <c r="EF428" s="37"/>
      <c r="EG428" s="37"/>
      <c r="EH428" s="37"/>
      <c r="EI428" s="37"/>
      <c r="EJ428" s="37"/>
      <c r="EK428" s="37"/>
      <c r="EL428" s="37"/>
      <c r="EM428" s="37"/>
      <c r="EN428" s="37"/>
      <c r="EO428" s="37"/>
      <c r="EP428" s="37"/>
      <c r="EQ428" s="37"/>
      <c r="ER428" s="37"/>
      <c r="ES428" s="37"/>
      <c r="ET428" s="37"/>
      <c r="EU428" s="37"/>
      <c r="EV428" s="37"/>
      <c r="EW428" s="37"/>
      <c r="EX428" s="37"/>
      <c r="EY428" s="37"/>
      <c r="EZ428" s="37"/>
      <c r="FA428" s="37"/>
      <c r="FB428" s="37"/>
      <c r="FC428" s="37"/>
      <c r="FD428" s="37"/>
      <c r="FE428" s="37"/>
      <c r="FF428" s="37"/>
      <c r="FG428" s="37"/>
      <c r="FH428" s="37"/>
      <c r="FI428" s="37"/>
      <c r="FJ428" s="37"/>
      <c r="FK428" s="37"/>
      <c r="FL428" s="37"/>
      <c r="FM428" s="37"/>
      <c r="FN428" s="37"/>
      <c r="FO428" s="37"/>
      <c r="FP428" s="37"/>
      <c r="FQ428" s="37"/>
      <c r="FR428" s="37"/>
      <c r="FS428" s="37"/>
      <c r="FT428" s="37"/>
      <c r="FU428" s="37"/>
      <c r="FV428" s="37"/>
      <c r="FW428" s="37"/>
      <c r="FX428" s="37"/>
      <c r="FY428" s="37"/>
      <c r="FZ428" s="37"/>
      <c r="GA428" s="37"/>
      <c r="GB428" s="37"/>
      <c r="GC428" s="37"/>
      <c r="GD428" s="37"/>
      <c r="GE428" s="37"/>
      <c r="GF428" s="37"/>
      <c r="GG428" s="37"/>
      <c r="GH428" s="37"/>
      <c r="GI428" s="37"/>
      <c r="GJ428" s="37"/>
      <c r="GK428" s="37"/>
      <c r="GL428" s="37"/>
      <c r="GM428" s="37"/>
      <c r="GN428" s="37"/>
      <c r="GO428" s="37"/>
      <c r="GP428" s="37"/>
      <c r="GQ428" s="37"/>
      <c r="GR428" s="37"/>
      <c r="GS428" s="37"/>
      <c r="GT428" s="37"/>
      <c r="GU428" s="37"/>
      <c r="GV428" s="37"/>
      <c r="GW428" s="37"/>
      <c r="GX428" s="37"/>
      <c r="GY428" s="37"/>
      <c r="GZ428" s="37"/>
      <c r="HA428" s="37"/>
      <c r="HB428" s="37"/>
      <c r="HC428" s="37"/>
      <c r="HD428" s="37"/>
      <c r="HE428" s="37"/>
      <c r="HF428" s="37"/>
      <c r="HG428" s="37"/>
      <c r="HH428" s="37"/>
      <c r="HI428" s="37"/>
      <c r="HJ428" s="37"/>
      <c r="HK428" s="37"/>
      <c r="HL428" s="37"/>
      <c r="HM428" s="37"/>
      <c r="HN428" s="37"/>
      <c r="HO428" s="37"/>
      <c r="HP428" s="37"/>
      <c r="HQ428" s="37"/>
      <c r="HR428" s="37"/>
      <c r="HS428" s="37"/>
      <c r="HT428" s="37"/>
      <c r="HU428" s="37"/>
      <c r="HV428" s="37"/>
      <c r="HW428" s="37"/>
      <c r="HX428" s="37"/>
      <c r="HY428" s="37"/>
      <c r="HZ428" s="37"/>
      <c r="IA428" s="37"/>
      <c r="IB428" s="37"/>
      <c r="IC428" s="37"/>
      <c r="ID428" s="37"/>
      <c r="IE428" s="37"/>
      <c r="IF428" s="37"/>
      <c r="IG428" s="37"/>
      <c r="IH428" s="37"/>
      <c r="II428" s="37"/>
      <c r="IJ428" s="37"/>
      <c r="IK428" s="37"/>
      <c r="IL428" s="37"/>
      <c r="IM428" s="37"/>
      <c r="IN428" s="37"/>
      <c r="IO428" s="37"/>
      <c r="IP428" s="37"/>
      <c r="IQ428" s="37"/>
      <c r="IR428" s="37"/>
      <c r="IS428" s="37"/>
      <c r="IT428" s="37"/>
      <c r="IU428" s="37"/>
      <c r="IV428" s="37"/>
      <c r="IW428" s="37"/>
      <c r="IX428" s="37"/>
      <c r="IY428" s="37"/>
      <c r="IZ428" s="37"/>
      <c r="JA428" s="37"/>
      <c r="JB428" s="37"/>
      <c r="JC428" s="37"/>
      <c r="JD428" s="37"/>
      <c r="JE428" s="37"/>
      <c r="JF428" s="37"/>
      <c r="JG428" s="37"/>
      <c r="JH428" s="37"/>
      <c r="JI428" s="37"/>
      <c r="JJ428" s="37"/>
      <c r="JK428" s="37"/>
      <c r="JL428" s="37"/>
      <c r="JM428" s="37"/>
      <c r="JN428" s="37"/>
      <c r="JO428" s="37"/>
      <c r="JP428" s="37"/>
      <c r="JQ428" s="37"/>
      <c r="JR428" s="37"/>
      <c r="JS428" s="37"/>
      <c r="JT428" s="37"/>
      <c r="JU428" s="37"/>
    </row>
    <row r="429" spans="1:281" x14ac:dyDescent="0.3">
      <c r="A429" s="8" t="s">
        <v>1518</v>
      </c>
      <c r="B429" s="8" t="s">
        <v>279</v>
      </c>
      <c r="C429" s="9" t="s">
        <v>1519</v>
      </c>
      <c r="D429" s="10">
        <v>150</v>
      </c>
      <c r="E429" s="11" t="s">
        <v>1520</v>
      </c>
      <c r="F429" s="11"/>
      <c r="G429" s="11"/>
      <c r="H429" s="12"/>
      <c r="I429" s="13"/>
      <c r="J429" s="13"/>
      <c r="K429" s="13"/>
      <c r="L429" s="13"/>
      <c r="M429" s="13">
        <v>350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M429" s="18"/>
    </row>
    <row r="430" spans="1:281" x14ac:dyDescent="0.3">
      <c r="A430" s="8" t="s">
        <v>1521</v>
      </c>
      <c r="B430" s="8" t="s">
        <v>279</v>
      </c>
      <c r="C430" s="9" t="s">
        <v>1522</v>
      </c>
      <c r="D430" s="10">
        <v>151</v>
      </c>
      <c r="E430" s="11"/>
      <c r="F430" s="11"/>
      <c r="G430" s="11"/>
      <c r="H430" s="12"/>
      <c r="I430" s="13">
        <v>350</v>
      </c>
      <c r="J430" s="13"/>
      <c r="K430" s="13">
        <v>350</v>
      </c>
      <c r="L430" s="13"/>
      <c r="M430" s="13">
        <v>350</v>
      </c>
      <c r="N430" s="13"/>
      <c r="O430" s="13">
        <v>350</v>
      </c>
      <c r="P430" s="13"/>
      <c r="Q430" s="13">
        <v>350</v>
      </c>
      <c r="R430" s="13"/>
      <c r="S430" s="13">
        <v>350</v>
      </c>
      <c r="T430" s="13"/>
      <c r="U430" s="13">
        <v>350</v>
      </c>
      <c r="V430" s="13"/>
      <c r="W430" s="13">
        <v>350</v>
      </c>
      <c r="X430" s="13"/>
      <c r="Y430" s="13">
        <v>350</v>
      </c>
      <c r="Z430" s="13"/>
      <c r="AA430" s="13">
        <v>350</v>
      </c>
      <c r="AB430" s="13"/>
      <c r="AC430" s="13">
        <v>350</v>
      </c>
      <c r="AD430" s="13"/>
      <c r="AE430" s="13"/>
      <c r="AF430" s="13"/>
      <c r="AG430" s="13"/>
      <c r="AH430" s="13"/>
      <c r="AM430" s="18"/>
    </row>
    <row r="431" spans="1:281" x14ac:dyDescent="0.3">
      <c r="A431" s="8" t="s">
        <v>1523</v>
      </c>
      <c r="B431" s="8" t="s">
        <v>279</v>
      </c>
      <c r="C431" s="9" t="s">
        <v>1524</v>
      </c>
      <c r="D431" s="10">
        <v>151</v>
      </c>
      <c r="E431" s="11"/>
      <c r="F431" s="11"/>
      <c r="G431" s="11"/>
      <c r="H431" s="12"/>
      <c r="I431" s="13">
        <v>350</v>
      </c>
      <c r="J431" s="13"/>
      <c r="K431" s="13">
        <v>350</v>
      </c>
      <c r="L431" s="13"/>
      <c r="M431" s="13">
        <v>350</v>
      </c>
      <c r="N431" s="13"/>
      <c r="O431" s="13">
        <v>350</v>
      </c>
      <c r="P431" s="13"/>
      <c r="Q431" s="13">
        <v>350</v>
      </c>
      <c r="R431" s="13"/>
      <c r="S431" s="13">
        <v>350</v>
      </c>
      <c r="T431" s="13"/>
      <c r="U431" s="13">
        <v>350</v>
      </c>
      <c r="V431" s="13"/>
      <c r="W431" s="13">
        <v>350</v>
      </c>
      <c r="X431" s="13"/>
      <c r="Y431" s="13">
        <v>350</v>
      </c>
      <c r="Z431" s="13"/>
      <c r="AA431" s="13">
        <v>350</v>
      </c>
      <c r="AB431" s="13"/>
      <c r="AC431" s="13"/>
      <c r="AD431" s="13"/>
      <c r="AE431" s="13"/>
      <c r="AF431" s="13"/>
      <c r="AG431" s="13"/>
      <c r="AH431" s="13"/>
      <c r="AM431" s="18"/>
    </row>
    <row r="432" spans="1:281" x14ac:dyDescent="0.3">
      <c r="A432" s="15" t="s">
        <v>51</v>
      </c>
      <c r="B432" s="8" t="s">
        <v>279</v>
      </c>
      <c r="C432" s="8"/>
      <c r="D432" s="10">
        <v>152</v>
      </c>
      <c r="E432" s="11" t="s">
        <v>1525</v>
      </c>
      <c r="F432" s="11" t="s">
        <v>1526</v>
      </c>
      <c r="G432" s="11"/>
      <c r="H432" s="25" t="s">
        <v>1527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M432" s="18"/>
    </row>
    <row r="433" spans="1:281" x14ac:dyDescent="0.3">
      <c r="A433" s="15" t="s">
        <v>51</v>
      </c>
      <c r="B433" s="8" t="s">
        <v>279</v>
      </c>
      <c r="C433" s="8" t="s">
        <v>506</v>
      </c>
      <c r="D433" s="10">
        <v>153</v>
      </c>
      <c r="E433" s="11" t="s">
        <v>1525</v>
      </c>
      <c r="F433" s="11" t="s">
        <v>1526</v>
      </c>
      <c r="G433" s="11"/>
      <c r="H433" s="25" t="s">
        <v>1527</v>
      </c>
      <c r="I433" s="13"/>
      <c r="J433" s="13">
        <f>300+300</f>
        <v>600</v>
      </c>
      <c r="K433" s="13"/>
      <c r="L433" s="13">
        <v>300</v>
      </c>
      <c r="M433" s="13"/>
      <c r="N433" s="13">
        <v>300</v>
      </c>
      <c r="O433" s="13"/>
      <c r="P433" s="13"/>
      <c r="Q433" s="13"/>
      <c r="R433" s="13">
        <f>300+300</f>
        <v>600</v>
      </c>
      <c r="S433" s="13"/>
      <c r="T433" s="13"/>
      <c r="U433" s="13"/>
      <c r="V433" s="13">
        <f>300+300</f>
        <v>600</v>
      </c>
      <c r="W433" s="13"/>
      <c r="X433" s="13"/>
      <c r="Y433" s="13"/>
      <c r="Z433" s="13">
        <v>300</v>
      </c>
      <c r="AA433" s="13"/>
      <c r="AB433" s="13">
        <f>300+300</f>
        <v>600</v>
      </c>
      <c r="AC433" s="13"/>
      <c r="AD433" s="13">
        <v>300</v>
      </c>
      <c r="AE433" s="13"/>
      <c r="AF433" s="13"/>
      <c r="AG433" s="13"/>
      <c r="AH433" s="13">
        <f>300+300</f>
        <v>600</v>
      </c>
      <c r="AJ433">
        <v>300</v>
      </c>
      <c r="AL433">
        <v>300</v>
      </c>
      <c r="AM433" s="18"/>
      <c r="AO433" s="7">
        <v>1</v>
      </c>
    </row>
    <row r="434" spans="1:281" x14ac:dyDescent="0.3">
      <c r="A434" s="8" t="s">
        <v>1528</v>
      </c>
      <c r="B434" s="8" t="s">
        <v>279</v>
      </c>
      <c r="C434" s="8"/>
      <c r="D434" s="10">
        <v>154</v>
      </c>
      <c r="E434" s="11"/>
      <c r="F434" s="11"/>
      <c r="G434" s="11"/>
      <c r="H434" s="25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M434" s="18"/>
    </row>
    <row r="435" spans="1:281" x14ac:dyDescent="0.3">
      <c r="A435" s="8" t="s">
        <v>1529</v>
      </c>
      <c r="B435" s="8" t="s">
        <v>279</v>
      </c>
      <c r="C435" s="8"/>
      <c r="D435" s="10">
        <v>155</v>
      </c>
      <c r="E435" s="11"/>
      <c r="F435" s="11"/>
      <c r="G435" s="11"/>
      <c r="H435" s="25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M435" s="18"/>
    </row>
    <row r="436" spans="1:281" x14ac:dyDescent="0.3">
      <c r="A436" s="8" t="s">
        <v>1530</v>
      </c>
      <c r="B436" s="8" t="s">
        <v>279</v>
      </c>
      <c r="C436" s="8"/>
      <c r="D436" s="10">
        <v>156</v>
      </c>
      <c r="E436" s="11"/>
      <c r="F436" s="11"/>
      <c r="G436" s="11"/>
      <c r="H436" s="25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M436" s="18"/>
    </row>
    <row r="437" spans="1:281" x14ac:dyDescent="0.3">
      <c r="A437" s="8" t="s">
        <v>1531</v>
      </c>
      <c r="B437" s="8" t="s">
        <v>279</v>
      </c>
      <c r="C437" s="8"/>
      <c r="D437" s="10">
        <v>179</v>
      </c>
      <c r="E437" s="11" t="s">
        <v>1532</v>
      </c>
      <c r="F437" s="11"/>
      <c r="G437" s="11"/>
      <c r="H437" s="25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M437" s="18"/>
    </row>
    <row r="438" spans="1:281" x14ac:dyDescent="0.3">
      <c r="A438" s="8" t="s">
        <v>1533</v>
      </c>
      <c r="B438" s="8" t="s">
        <v>279</v>
      </c>
      <c r="C438" s="8"/>
      <c r="D438" s="10">
        <v>240</v>
      </c>
      <c r="E438" s="11"/>
      <c r="F438" s="11"/>
      <c r="G438" s="11"/>
      <c r="H438" s="25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M438" s="18"/>
    </row>
    <row r="439" spans="1:281" x14ac:dyDescent="0.3">
      <c r="A439" s="8" t="s">
        <v>1534</v>
      </c>
      <c r="B439" s="8" t="s">
        <v>279</v>
      </c>
      <c r="C439" s="8" t="s">
        <v>1535</v>
      </c>
      <c r="D439" s="10">
        <v>241</v>
      </c>
      <c r="E439" s="11"/>
      <c r="F439" s="11"/>
      <c r="G439" s="11"/>
      <c r="H439" s="25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M439" s="18"/>
    </row>
    <row r="440" spans="1:281" x14ac:dyDescent="0.3">
      <c r="A440" s="8" t="s">
        <v>1536</v>
      </c>
      <c r="B440" s="8" t="s">
        <v>279</v>
      </c>
      <c r="C440" s="9" t="s">
        <v>1537</v>
      </c>
      <c r="D440" s="10">
        <v>242</v>
      </c>
      <c r="E440" s="11" t="s">
        <v>1538</v>
      </c>
      <c r="F440" s="11"/>
      <c r="G440" s="11"/>
      <c r="H440" s="12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M440" s="18"/>
    </row>
    <row r="441" spans="1:281" x14ac:dyDescent="0.3">
      <c r="A441" s="8" t="s">
        <v>1539</v>
      </c>
      <c r="B441" s="8" t="s">
        <v>279</v>
      </c>
      <c r="C441" s="9" t="s">
        <v>1540</v>
      </c>
      <c r="D441" s="10">
        <v>243</v>
      </c>
      <c r="E441" s="11" t="s">
        <v>1541</v>
      </c>
      <c r="F441" s="11"/>
      <c r="G441" s="11"/>
      <c r="H441" s="25" t="s">
        <v>1542</v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>
        <v>170</v>
      </c>
      <c r="AH441" s="13"/>
      <c r="AI441">
        <v>170</v>
      </c>
      <c r="AK441">
        <v>170</v>
      </c>
      <c r="AM441" s="39" t="s">
        <v>1543</v>
      </c>
      <c r="AN441" s="40"/>
      <c r="AO441" s="7">
        <v>1</v>
      </c>
    </row>
    <row r="442" spans="1:281" x14ac:dyDescent="0.3">
      <c r="A442" s="8" t="s">
        <v>1544</v>
      </c>
      <c r="B442" s="8" t="s">
        <v>279</v>
      </c>
      <c r="C442" s="9"/>
      <c r="D442" s="10">
        <v>243</v>
      </c>
      <c r="E442" s="11" t="s">
        <v>1545</v>
      </c>
      <c r="F442" s="11"/>
      <c r="G442" s="11"/>
      <c r="H442" s="25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M442" s="18"/>
    </row>
    <row r="443" spans="1:281" x14ac:dyDescent="0.3">
      <c r="A443" s="8" t="s">
        <v>61</v>
      </c>
      <c r="B443" s="8" t="s">
        <v>279</v>
      </c>
      <c r="C443" s="8" t="s">
        <v>1546</v>
      </c>
      <c r="D443" s="10">
        <v>244</v>
      </c>
      <c r="E443" s="11" t="s">
        <v>1547</v>
      </c>
      <c r="F443" s="11"/>
      <c r="G443" s="11"/>
      <c r="H443" s="25" t="s">
        <v>1548</v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>
        <v>350</v>
      </c>
      <c r="AG443" s="13"/>
      <c r="AH443" s="13">
        <f>170+170</f>
        <v>340</v>
      </c>
      <c r="AL443">
        <v>170</v>
      </c>
      <c r="AM443" s="18"/>
      <c r="AO443" s="7">
        <v>1</v>
      </c>
    </row>
    <row r="444" spans="1:281" x14ac:dyDescent="0.3">
      <c r="A444" s="8" t="s">
        <v>1549</v>
      </c>
      <c r="B444" s="8" t="s">
        <v>279</v>
      </c>
      <c r="C444" s="9" t="s">
        <v>1550</v>
      </c>
      <c r="D444" s="10">
        <v>245</v>
      </c>
      <c r="E444" s="11" t="s">
        <v>1551</v>
      </c>
      <c r="F444" s="11"/>
      <c r="G444" s="11"/>
      <c r="H444" s="25" t="s">
        <v>1552</v>
      </c>
      <c r="I444" s="13">
        <v>350</v>
      </c>
      <c r="J444" s="13"/>
      <c r="K444" s="13">
        <v>350</v>
      </c>
      <c r="L444" s="13"/>
      <c r="M444" s="13">
        <v>350</v>
      </c>
      <c r="N444" s="13"/>
      <c r="O444" s="13">
        <v>350</v>
      </c>
      <c r="P444" s="13"/>
      <c r="Q444" s="13">
        <v>350</v>
      </c>
      <c r="R444" s="13"/>
      <c r="S444" s="13">
        <v>350</v>
      </c>
      <c r="T444" s="13"/>
      <c r="U444" s="13">
        <v>350</v>
      </c>
      <c r="V444" s="13"/>
      <c r="W444" s="13">
        <v>350</v>
      </c>
      <c r="X444" s="13"/>
      <c r="Y444" s="13">
        <v>350</v>
      </c>
      <c r="Z444" s="13"/>
      <c r="AA444" s="13">
        <v>350</v>
      </c>
      <c r="AB444" s="13"/>
      <c r="AC444" s="13">
        <v>350</v>
      </c>
      <c r="AD444" s="13"/>
      <c r="AE444" s="13">
        <v>350</v>
      </c>
      <c r="AF444" s="13"/>
      <c r="AG444" s="13">
        <v>350</v>
      </c>
      <c r="AH444" s="13"/>
      <c r="AI444">
        <v>350</v>
      </c>
      <c r="AK444">
        <v>350</v>
      </c>
      <c r="AM444" s="18"/>
      <c r="AN444" s="7"/>
      <c r="AO444" s="7">
        <v>1</v>
      </c>
      <c r="AP444" s="54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</row>
    <row r="445" spans="1:281" x14ac:dyDescent="0.3">
      <c r="A445" s="8" t="s">
        <v>1553</v>
      </c>
      <c r="B445" s="8" t="s">
        <v>279</v>
      </c>
      <c r="C445" s="8"/>
      <c r="D445" s="10">
        <v>246</v>
      </c>
      <c r="E445" s="11" t="s">
        <v>1554</v>
      </c>
      <c r="F445" s="11" t="s">
        <v>1555</v>
      </c>
      <c r="G445" s="11"/>
      <c r="H445" s="25" t="s">
        <v>1556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M445" s="18"/>
      <c r="AN445" s="7"/>
      <c r="AO445" s="7"/>
      <c r="AP445" s="54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</row>
    <row r="446" spans="1:281" x14ac:dyDescent="0.3">
      <c r="A446" s="8" t="s">
        <v>1557</v>
      </c>
      <c r="B446" s="8" t="s">
        <v>279</v>
      </c>
      <c r="C446" s="8"/>
      <c r="D446" s="10">
        <v>247</v>
      </c>
      <c r="E446" s="11" t="s">
        <v>1558</v>
      </c>
      <c r="F446" s="11"/>
      <c r="G446" s="11"/>
      <c r="H446" s="25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M446" s="18"/>
    </row>
    <row r="447" spans="1:281" x14ac:dyDescent="0.3">
      <c r="A447" s="8" t="s">
        <v>1559</v>
      </c>
      <c r="B447" s="8" t="s">
        <v>279</v>
      </c>
      <c r="C447" s="9" t="s">
        <v>1560</v>
      </c>
      <c r="D447" s="10">
        <v>247</v>
      </c>
      <c r="E447" s="11" t="s">
        <v>1558</v>
      </c>
      <c r="F447" s="11" t="s">
        <v>1561</v>
      </c>
      <c r="G447" s="11"/>
      <c r="H447" s="12"/>
      <c r="I447" s="13">
        <v>350</v>
      </c>
      <c r="J447" s="13"/>
      <c r="K447" s="13">
        <v>350</v>
      </c>
      <c r="L447" s="13"/>
      <c r="M447" s="13">
        <v>350</v>
      </c>
      <c r="N447" s="13"/>
      <c r="O447" s="13">
        <v>350</v>
      </c>
      <c r="P447" s="13"/>
      <c r="Q447" s="13">
        <v>350</v>
      </c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M447" s="18" t="s">
        <v>1562</v>
      </c>
    </row>
    <row r="448" spans="1:281" x14ac:dyDescent="0.3">
      <c r="A448" s="8" t="s">
        <v>1563</v>
      </c>
      <c r="B448" s="8" t="s">
        <v>279</v>
      </c>
      <c r="C448" s="8"/>
      <c r="D448" s="10">
        <v>249</v>
      </c>
      <c r="E448" s="11"/>
      <c r="F448" s="11"/>
      <c r="G448" s="11"/>
      <c r="H448" s="12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M448" s="18"/>
    </row>
    <row r="449" spans="1:39" x14ac:dyDescent="0.3">
      <c r="A449" s="8" t="s">
        <v>1564</v>
      </c>
      <c r="B449" s="8" t="s">
        <v>279</v>
      </c>
      <c r="C449" s="8"/>
      <c r="D449" s="10">
        <v>249</v>
      </c>
      <c r="E449" s="11" t="s">
        <v>1565</v>
      </c>
      <c r="F449" s="11"/>
      <c r="G449" s="11"/>
      <c r="H449" s="12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M449" s="18"/>
    </row>
    <row r="450" spans="1:39" x14ac:dyDescent="0.3">
      <c r="A450" s="8" t="s">
        <v>1566</v>
      </c>
      <c r="B450" s="8" t="s">
        <v>279</v>
      </c>
      <c r="C450" s="8"/>
      <c r="D450" s="10">
        <v>249</v>
      </c>
      <c r="E450" s="11" t="s">
        <v>1567</v>
      </c>
      <c r="F450" s="11"/>
      <c r="G450" s="11"/>
      <c r="H450" s="12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M450" s="18"/>
    </row>
    <row r="451" spans="1:39" x14ac:dyDescent="0.3">
      <c r="A451" s="8" t="s">
        <v>1568</v>
      </c>
      <c r="B451" s="8" t="s">
        <v>279</v>
      </c>
      <c r="C451" s="8"/>
      <c r="D451" s="10">
        <v>249</v>
      </c>
      <c r="E451" s="11" t="s">
        <v>1569</v>
      </c>
      <c r="F451" s="11"/>
      <c r="G451" s="11"/>
      <c r="H451" s="12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M451" s="18"/>
    </row>
    <row r="452" spans="1:39" x14ac:dyDescent="0.3">
      <c r="A452" s="8" t="s">
        <v>1570</v>
      </c>
      <c r="B452" s="8" t="s">
        <v>279</v>
      </c>
      <c r="C452" s="8"/>
      <c r="D452" s="10">
        <v>250</v>
      </c>
      <c r="E452" s="11" t="s">
        <v>1571</v>
      </c>
      <c r="F452" s="11"/>
      <c r="G452" s="11"/>
      <c r="H452" s="12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M452" s="18"/>
    </row>
    <row r="453" spans="1:39" x14ac:dyDescent="0.3">
      <c r="A453" s="8" t="s">
        <v>1572</v>
      </c>
      <c r="B453" s="8" t="s">
        <v>279</v>
      </c>
      <c r="C453" s="8"/>
      <c r="D453" s="10">
        <v>251</v>
      </c>
      <c r="E453" s="9" t="s">
        <v>1573</v>
      </c>
      <c r="F453" s="11"/>
      <c r="G453" s="11"/>
      <c r="H453" s="12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M453" s="18"/>
    </row>
    <row r="454" spans="1:39" x14ac:dyDescent="0.3">
      <c r="A454" s="8" t="s">
        <v>1574</v>
      </c>
      <c r="B454" s="8" t="s">
        <v>1505</v>
      </c>
      <c r="C454" s="8"/>
      <c r="D454" s="10">
        <v>252</v>
      </c>
      <c r="E454" s="11" t="s">
        <v>1575</v>
      </c>
      <c r="F454" s="11"/>
      <c r="G454" s="11"/>
      <c r="H454" s="12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M454" s="18"/>
    </row>
    <row r="455" spans="1:39" x14ac:dyDescent="0.3">
      <c r="A455" s="8" t="s">
        <v>1576</v>
      </c>
      <c r="B455" s="8" t="s">
        <v>279</v>
      </c>
      <c r="C455" s="8"/>
      <c r="D455" s="10">
        <v>252</v>
      </c>
      <c r="E455" s="9" t="s">
        <v>1577</v>
      </c>
      <c r="F455" s="11" t="s">
        <v>1578</v>
      </c>
      <c r="G455" s="11"/>
      <c r="H455" s="12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M455" s="18"/>
    </row>
    <row r="456" spans="1:39" x14ac:dyDescent="0.3">
      <c r="A456" s="8" t="s">
        <v>1579</v>
      </c>
      <c r="B456" s="8" t="s">
        <v>279</v>
      </c>
      <c r="C456" s="8"/>
      <c r="D456" s="10">
        <v>253</v>
      </c>
      <c r="E456" s="11" t="s">
        <v>1580</v>
      </c>
      <c r="F456" s="11"/>
      <c r="G456" s="11"/>
      <c r="H456" s="12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M456" s="18"/>
    </row>
    <row r="457" spans="1:39" x14ac:dyDescent="0.3">
      <c r="A457" s="8" t="s">
        <v>1581</v>
      </c>
      <c r="B457" s="8" t="s">
        <v>279</v>
      </c>
      <c r="C457" s="8"/>
      <c r="D457" s="10">
        <v>254</v>
      </c>
      <c r="E457" s="11" t="s">
        <v>1582</v>
      </c>
      <c r="F457" s="11"/>
      <c r="G457" s="11"/>
      <c r="H457" s="12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M457" s="18"/>
    </row>
    <row r="458" spans="1:39" x14ac:dyDescent="0.3">
      <c r="A458" s="8" t="s">
        <v>1583</v>
      </c>
      <c r="B458" s="8" t="s">
        <v>279</v>
      </c>
      <c r="C458" s="8"/>
      <c r="D458" s="10">
        <v>255</v>
      </c>
      <c r="E458" s="11" t="s">
        <v>1584</v>
      </c>
      <c r="F458" s="11"/>
      <c r="G458" s="11"/>
      <c r="H458" s="12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M458" s="18"/>
    </row>
    <row r="459" spans="1:39" x14ac:dyDescent="0.3">
      <c r="A459" s="8" t="s">
        <v>1585</v>
      </c>
      <c r="B459" s="8" t="s">
        <v>279</v>
      </c>
      <c r="C459" s="8"/>
      <c r="D459" s="10">
        <v>256</v>
      </c>
      <c r="E459" s="11"/>
      <c r="F459" s="11"/>
      <c r="G459" s="11"/>
      <c r="H459" s="12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M459" s="18"/>
    </row>
    <row r="460" spans="1:39" x14ac:dyDescent="0.3">
      <c r="A460" s="8" t="s">
        <v>1586</v>
      </c>
      <c r="B460" s="8" t="s">
        <v>279</v>
      </c>
      <c r="C460" s="8"/>
      <c r="D460" s="10">
        <v>257</v>
      </c>
      <c r="E460" s="11" t="s">
        <v>1587</v>
      </c>
      <c r="F460" s="11" t="s">
        <v>1588</v>
      </c>
      <c r="G460" s="11"/>
      <c r="H460" s="12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M460" s="18"/>
    </row>
    <row r="461" spans="1:39" x14ac:dyDescent="0.3">
      <c r="A461" s="8" t="s">
        <v>1589</v>
      </c>
      <c r="B461" s="8" t="s">
        <v>249</v>
      </c>
      <c r="C461" s="8"/>
      <c r="D461" s="10" t="s">
        <v>1590</v>
      </c>
      <c r="E461" s="11" t="s">
        <v>1591</v>
      </c>
      <c r="F461" s="11"/>
      <c r="G461" s="11"/>
      <c r="H461" s="12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M461" s="18"/>
    </row>
    <row r="462" spans="1:39" x14ac:dyDescent="0.3">
      <c r="A462" s="8" t="s">
        <v>1592</v>
      </c>
      <c r="B462" s="11" t="s">
        <v>132</v>
      </c>
      <c r="C462" s="11" t="s">
        <v>506</v>
      </c>
      <c r="D462" s="10" t="s">
        <v>1590</v>
      </c>
      <c r="E462" s="11"/>
      <c r="F462" s="11"/>
      <c r="G462" s="11"/>
      <c r="H462" s="25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13"/>
      <c r="AF462" s="13">
        <v>500</v>
      </c>
      <c r="AG462" s="13"/>
      <c r="AH462" s="13"/>
      <c r="AM462" s="18" t="s">
        <v>1593</v>
      </c>
    </row>
    <row r="463" spans="1:39" x14ac:dyDescent="0.3">
      <c r="A463" s="8" t="s">
        <v>1594</v>
      </c>
      <c r="B463" s="11" t="s">
        <v>39</v>
      </c>
      <c r="C463" s="9"/>
      <c r="D463" s="10" t="s">
        <v>1590</v>
      </c>
      <c r="E463" s="11" t="s">
        <v>1595</v>
      </c>
      <c r="F463" s="11"/>
      <c r="G463" s="11"/>
      <c r="H463" s="12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M463" s="18"/>
    </row>
    <row r="464" spans="1:39" x14ac:dyDescent="0.3">
      <c r="A464" s="8" t="s">
        <v>1596</v>
      </c>
      <c r="B464" s="8" t="s">
        <v>145</v>
      </c>
      <c r="C464" s="8"/>
      <c r="D464" s="10" t="s">
        <v>1590</v>
      </c>
      <c r="E464" s="11" t="s">
        <v>1597</v>
      </c>
      <c r="F464" s="11"/>
      <c r="G464" s="11"/>
      <c r="H464" s="25" t="s">
        <v>1598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M464" s="18"/>
    </row>
    <row r="465" spans="1:41" x14ac:dyDescent="0.3">
      <c r="A465" s="11" t="s">
        <v>1599</v>
      </c>
      <c r="B465" s="11" t="s">
        <v>39</v>
      </c>
      <c r="C465" s="9" t="s">
        <v>1600</v>
      </c>
      <c r="D465" s="46" t="s">
        <v>1601</v>
      </c>
      <c r="E465" s="11" t="s">
        <v>1602</v>
      </c>
      <c r="F465" s="28"/>
      <c r="G465" s="28"/>
      <c r="H465" s="25" t="s">
        <v>1603</v>
      </c>
      <c r="I465" s="13"/>
      <c r="J465" s="13"/>
      <c r="K465" s="13">
        <v>350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M465" s="18"/>
    </row>
    <row r="466" spans="1:41" x14ac:dyDescent="0.3">
      <c r="A466" s="11" t="s">
        <v>1604</v>
      </c>
      <c r="B466" s="11" t="s">
        <v>39</v>
      </c>
      <c r="C466" s="11"/>
      <c r="D466" s="46" t="s">
        <v>35</v>
      </c>
      <c r="E466" s="11" t="s">
        <v>1605</v>
      </c>
      <c r="F466" s="11" t="s">
        <v>1606</v>
      </c>
      <c r="G466" s="11"/>
      <c r="H466" s="25" t="s">
        <v>1607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M466" s="18"/>
    </row>
    <row r="467" spans="1:41" x14ac:dyDescent="0.3">
      <c r="A467" s="8" t="s">
        <v>1608</v>
      </c>
      <c r="B467" s="8" t="s">
        <v>139</v>
      </c>
      <c r="C467" s="8" t="s">
        <v>1609</v>
      </c>
      <c r="D467" s="10" t="s">
        <v>1610</v>
      </c>
      <c r="E467" s="11" t="s">
        <v>1611</v>
      </c>
      <c r="F467" s="11" t="s">
        <v>521</v>
      </c>
      <c r="G467" s="11"/>
      <c r="H467" s="25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>
        <v>200</v>
      </c>
      <c r="AF467" s="13"/>
      <c r="AG467" s="13">
        <v>200</v>
      </c>
      <c r="AH467" s="13"/>
      <c r="AI467">
        <v>200</v>
      </c>
      <c r="AK467">
        <v>200</v>
      </c>
      <c r="AM467" s="18"/>
      <c r="AO467" s="7">
        <v>1</v>
      </c>
    </row>
    <row r="468" spans="1:41" x14ac:dyDescent="0.3">
      <c r="A468" s="11" t="s">
        <v>1612</v>
      </c>
      <c r="B468" s="11" t="s">
        <v>39</v>
      </c>
      <c r="C468" s="11"/>
      <c r="D468" s="46" t="s">
        <v>1613</v>
      </c>
      <c r="E468" s="11" t="s">
        <v>1614</v>
      </c>
      <c r="F468" s="11"/>
      <c r="G468" s="11"/>
      <c r="H468" s="25" t="s">
        <v>1615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M468" s="18"/>
    </row>
    <row r="469" spans="1:41" x14ac:dyDescent="0.3">
      <c r="A469" s="8" t="s">
        <v>1616</v>
      </c>
      <c r="B469" s="8" t="s">
        <v>68</v>
      </c>
      <c r="C469" s="8"/>
      <c r="D469" s="46" t="s">
        <v>1617</v>
      </c>
      <c r="E469" s="11" t="s">
        <v>1618</v>
      </c>
      <c r="F469" s="11"/>
      <c r="G469" s="11"/>
      <c r="H469" s="19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M469" s="18"/>
    </row>
    <row r="470" spans="1:41" x14ac:dyDescent="0.3">
      <c r="A470" s="11" t="s">
        <v>1619</v>
      </c>
      <c r="B470" s="8" t="s">
        <v>279</v>
      </c>
      <c r="C470" s="8"/>
      <c r="D470" s="46" t="s">
        <v>1620</v>
      </c>
      <c r="E470" s="11" t="s">
        <v>1621</v>
      </c>
      <c r="F470" s="28"/>
      <c r="G470" s="28"/>
      <c r="H470" s="19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M470" s="18"/>
    </row>
    <row r="471" spans="1:41" x14ac:dyDescent="0.3">
      <c r="A471" s="11" t="s">
        <v>1622</v>
      </c>
      <c r="B471" s="8" t="s">
        <v>279</v>
      </c>
      <c r="C471" s="8"/>
      <c r="D471" s="46" t="s">
        <v>1623</v>
      </c>
      <c r="E471" s="11" t="s">
        <v>1624</v>
      </c>
      <c r="F471" s="28"/>
      <c r="G471" s="28"/>
      <c r="H471" s="25" t="s">
        <v>1625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M471" s="18"/>
    </row>
    <row r="472" spans="1:41" x14ac:dyDescent="0.3">
      <c r="A472" s="11" t="s">
        <v>1626</v>
      </c>
      <c r="B472" s="8" t="s">
        <v>279</v>
      </c>
      <c r="C472" s="8"/>
      <c r="D472" s="46" t="s">
        <v>1627</v>
      </c>
      <c r="E472" s="11"/>
      <c r="F472" s="28"/>
      <c r="G472" s="28"/>
      <c r="H472" s="25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M472" s="18"/>
    </row>
    <row r="473" spans="1:41" x14ac:dyDescent="0.3">
      <c r="A473" s="11" t="s">
        <v>1628</v>
      </c>
      <c r="B473" s="8" t="s">
        <v>279</v>
      </c>
      <c r="C473" s="8"/>
      <c r="D473" s="46" t="s">
        <v>1629</v>
      </c>
      <c r="E473" s="11" t="s">
        <v>1630</v>
      </c>
      <c r="F473" s="28"/>
      <c r="G473" s="28"/>
      <c r="H473" s="25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M473" s="18"/>
    </row>
    <row r="474" spans="1:41" x14ac:dyDescent="0.3">
      <c r="A474" s="11" t="s">
        <v>1631</v>
      </c>
      <c r="B474" s="8" t="s">
        <v>279</v>
      </c>
      <c r="C474" s="8"/>
      <c r="D474" s="46" t="s">
        <v>1632</v>
      </c>
      <c r="E474" s="11" t="s">
        <v>1633</v>
      </c>
      <c r="F474" s="28"/>
      <c r="G474" s="28"/>
      <c r="H474" s="25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M474" s="18"/>
    </row>
    <row r="475" spans="1:41" x14ac:dyDescent="0.3">
      <c r="A475" s="53" t="s">
        <v>1634</v>
      </c>
      <c r="B475" s="8" t="s">
        <v>279</v>
      </c>
      <c r="C475" s="9"/>
      <c r="D475" s="55" t="s">
        <v>1635</v>
      </c>
      <c r="E475" s="53"/>
      <c r="F475" s="56"/>
      <c r="G475" s="56"/>
      <c r="H475" s="19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M475" s="18"/>
    </row>
    <row r="476" spans="1:41" x14ac:dyDescent="0.3">
      <c r="A476" s="53" t="s">
        <v>1636</v>
      </c>
      <c r="B476" s="8" t="s">
        <v>279</v>
      </c>
      <c r="C476" s="9"/>
      <c r="D476" s="55" t="s">
        <v>1637</v>
      </c>
      <c r="E476" s="53"/>
      <c r="F476" s="56"/>
      <c r="G476" s="56"/>
      <c r="H476" s="19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M476" s="18"/>
    </row>
    <row r="477" spans="1:41" x14ac:dyDescent="0.3">
      <c r="A477" s="53" t="s">
        <v>1638</v>
      </c>
      <c r="B477" s="8" t="s">
        <v>279</v>
      </c>
      <c r="C477" s="9"/>
      <c r="D477" s="55" t="s">
        <v>1639</v>
      </c>
      <c r="E477" s="53"/>
      <c r="F477" s="56"/>
      <c r="G477" s="56"/>
      <c r="H477" s="19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M477" s="18"/>
    </row>
    <row r="478" spans="1:41" x14ac:dyDescent="0.3">
      <c r="A478" s="57" t="s">
        <v>1640</v>
      </c>
      <c r="B478" s="8" t="s">
        <v>279</v>
      </c>
      <c r="C478" s="8"/>
      <c r="D478" s="46" t="s">
        <v>1641</v>
      </c>
      <c r="E478" s="28"/>
      <c r="F478" s="28"/>
      <c r="G478" s="28"/>
      <c r="H478" s="19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M478" s="18"/>
    </row>
    <row r="479" spans="1:41" x14ac:dyDescent="0.3">
      <c r="A479" s="57" t="s">
        <v>1640</v>
      </c>
      <c r="B479" s="8" t="s">
        <v>279</v>
      </c>
      <c r="C479" s="8"/>
      <c r="D479" s="46" t="s">
        <v>1642</v>
      </c>
      <c r="E479" s="28"/>
      <c r="F479" s="28"/>
      <c r="G479" s="28"/>
      <c r="H479" s="19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M479" s="18"/>
    </row>
    <row r="480" spans="1:41" x14ac:dyDescent="0.3">
      <c r="A480" s="11" t="s">
        <v>1643</v>
      </c>
      <c r="B480" s="8" t="s">
        <v>279</v>
      </c>
      <c r="C480" s="8"/>
      <c r="D480" s="46" t="s">
        <v>1644</v>
      </c>
      <c r="E480" s="28"/>
      <c r="F480" s="28"/>
      <c r="G480" s="28"/>
      <c r="H480" s="19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M480" s="18"/>
    </row>
    <row r="481" spans="1:281" x14ac:dyDescent="0.3">
      <c r="A481" s="11" t="s">
        <v>1645</v>
      </c>
      <c r="B481" s="8" t="s">
        <v>279</v>
      </c>
      <c r="C481" s="8"/>
      <c r="D481" s="46" t="s">
        <v>1646</v>
      </c>
      <c r="E481" s="28"/>
      <c r="F481" s="28"/>
      <c r="G481" s="28"/>
      <c r="H481" s="19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M481" s="18"/>
    </row>
    <row r="482" spans="1:281" x14ac:dyDescent="0.3">
      <c r="A482" s="11" t="s">
        <v>1647</v>
      </c>
      <c r="B482" s="8" t="s">
        <v>279</v>
      </c>
      <c r="C482" s="8"/>
      <c r="D482" s="46" t="s">
        <v>1648</v>
      </c>
      <c r="E482" s="28"/>
      <c r="F482" s="28"/>
      <c r="G482" s="28"/>
      <c r="H482" s="19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M482" s="18"/>
    </row>
    <row r="483" spans="1:281" x14ac:dyDescent="0.3">
      <c r="A483" s="8" t="s">
        <v>1649</v>
      </c>
      <c r="B483" s="8" t="s">
        <v>1650</v>
      </c>
      <c r="C483" s="8"/>
      <c r="D483" s="10" t="s">
        <v>1651</v>
      </c>
      <c r="E483" s="11" t="s">
        <v>1652</v>
      </c>
      <c r="F483" s="11"/>
      <c r="G483" s="11"/>
      <c r="H483" s="12"/>
      <c r="I483" s="13"/>
      <c r="J483" s="13"/>
      <c r="K483" s="13"/>
      <c r="L483" s="13"/>
      <c r="M483" s="13">
        <v>350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M483" s="18"/>
    </row>
    <row r="484" spans="1:281" x14ac:dyDescent="0.3">
      <c r="A484" s="8" t="s">
        <v>1653</v>
      </c>
      <c r="B484" s="8" t="s">
        <v>279</v>
      </c>
      <c r="C484" s="8"/>
      <c r="D484" s="10" t="s">
        <v>57</v>
      </c>
      <c r="E484" s="11" t="s">
        <v>1654</v>
      </c>
      <c r="F484" s="11"/>
      <c r="G484" s="11"/>
      <c r="H484" s="12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M484" s="18"/>
    </row>
    <row r="485" spans="1:281" x14ac:dyDescent="0.3">
      <c r="A485" s="8" t="s">
        <v>55</v>
      </c>
      <c r="B485" s="8" t="s">
        <v>56</v>
      </c>
      <c r="C485" s="8" t="s">
        <v>506</v>
      </c>
      <c r="D485" s="10" t="s">
        <v>57</v>
      </c>
      <c r="E485" s="11" t="s">
        <v>1655</v>
      </c>
      <c r="F485" s="11" t="s">
        <v>1654</v>
      </c>
      <c r="G485" s="11"/>
      <c r="H485" s="25" t="s">
        <v>1656</v>
      </c>
      <c r="I485" s="13"/>
      <c r="J485" s="13">
        <v>200</v>
      </c>
      <c r="K485" s="13"/>
      <c r="L485" s="13"/>
      <c r="M485" s="13"/>
      <c r="N485" s="13">
        <v>200</v>
      </c>
      <c r="O485" s="13"/>
      <c r="P485" s="13">
        <v>200</v>
      </c>
      <c r="Q485" s="13"/>
      <c r="R485" s="13">
        <v>200</v>
      </c>
      <c r="S485" s="13"/>
      <c r="T485" s="18"/>
      <c r="U485" s="13"/>
      <c r="V485" s="13">
        <v>200</v>
      </c>
      <c r="W485" s="13"/>
      <c r="X485" s="13"/>
      <c r="Y485" s="13"/>
      <c r="Z485" s="13">
        <v>400</v>
      </c>
      <c r="AA485" s="13"/>
      <c r="AB485" s="13">
        <v>200</v>
      </c>
      <c r="AC485" s="13"/>
      <c r="AD485" s="13">
        <v>200</v>
      </c>
      <c r="AE485" s="13"/>
      <c r="AF485" s="13">
        <v>200</v>
      </c>
      <c r="AG485" s="13"/>
      <c r="AH485" s="13">
        <v>200</v>
      </c>
      <c r="AJ485">
        <v>200</v>
      </c>
      <c r="AL485">
        <v>200</v>
      </c>
      <c r="AM485" s="18"/>
      <c r="AN485" s="7"/>
      <c r="AO485" s="7">
        <v>1</v>
      </c>
      <c r="AP485" s="54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</row>
    <row r="486" spans="1:281" x14ac:dyDescent="0.3">
      <c r="A486" s="11" t="s">
        <v>1657</v>
      </c>
      <c r="B486" s="11" t="s">
        <v>39</v>
      </c>
      <c r="C486" s="11"/>
      <c r="D486" s="46" t="s">
        <v>1658</v>
      </c>
      <c r="E486" s="11" t="s">
        <v>1659</v>
      </c>
      <c r="F486" s="11"/>
      <c r="G486" s="11"/>
      <c r="H486" s="25" t="s">
        <v>1660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M486" s="18"/>
    </row>
    <row r="487" spans="1:281" x14ac:dyDescent="0.3">
      <c r="A487" s="11" t="s">
        <v>1661</v>
      </c>
      <c r="B487" s="11" t="s">
        <v>39</v>
      </c>
      <c r="C487" s="11"/>
      <c r="D487" s="46" t="s">
        <v>1658</v>
      </c>
      <c r="E487" s="11" t="s">
        <v>1662</v>
      </c>
      <c r="F487" s="11"/>
      <c r="G487" s="11"/>
      <c r="H487" s="25" t="s">
        <v>1663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M487" s="18"/>
    </row>
    <row r="488" spans="1:281" x14ac:dyDescent="0.3">
      <c r="A488" s="11" t="s">
        <v>1664</v>
      </c>
      <c r="B488" s="11" t="s">
        <v>39</v>
      </c>
      <c r="C488" s="9" t="s">
        <v>1665</v>
      </c>
      <c r="D488" s="46" t="s">
        <v>1666</v>
      </c>
      <c r="E488" s="11"/>
      <c r="F488" s="11"/>
      <c r="G488" s="11"/>
      <c r="H488" s="19"/>
      <c r="I488" s="13">
        <v>350</v>
      </c>
      <c r="J488" s="13"/>
      <c r="K488" s="13">
        <v>350</v>
      </c>
      <c r="L488" s="13"/>
      <c r="M488" s="13">
        <v>350</v>
      </c>
      <c r="N488" s="13"/>
      <c r="O488" s="13">
        <v>350</v>
      </c>
      <c r="P488" s="13"/>
      <c r="Q488" s="13">
        <v>350</v>
      </c>
      <c r="R488" s="13"/>
      <c r="S488" s="13">
        <v>350</v>
      </c>
      <c r="T488" s="13"/>
      <c r="U488" s="13">
        <v>350</v>
      </c>
      <c r="V488" s="13"/>
      <c r="W488" s="13">
        <v>350</v>
      </c>
      <c r="X488" s="13"/>
      <c r="Y488" s="13">
        <v>350</v>
      </c>
      <c r="Z488" s="13"/>
      <c r="AA488" s="13">
        <v>350</v>
      </c>
      <c r="AB488" s="13"/>
      <c r="AC488" s="13">
        <v>350</v>
      </c>
      <c r="AD488" s="13"/>
      <c r="AE488" s="13">
        <v>350</v>
      </c>
      <c r="AF488" s="13"/>
      <c r="AG488" s="13">
        <v>350</v>
      </c>
      <c r="AH488" s="13"/>
      <c r="AI488">
        <v>350</v>
      </c>
      <c r="AK488">
        <v>350</v>
      </c>
      <c r="AM488" s="18"/>
      <c r="AO488" s="7">
        <v>1</v>
      </c>
    </row>
    <row r="489" spans="1:281" x14ac:dyDescent="0.3">
      <c r="A489" s="11" t="s">
        <v>1667</v>
      </c>
      <c r="B489" s="11" t="s">
        <v>39</v>
      </c>
      <c r="C489" s="9" t="s">
        <v>1668</v>
      </c>
      <c r="D489" s="46" t="s">
        <v>1669</v>
      </c>
      <c r="E489" s="11" t="s">
        <v>1670</v>
      </c>
      <c r="F489" s="11"/>
      <c r="G489" s="11"/>
      <c r="H489" s="25" t="s">
        <v>1671</v>
      </c>
      <c r="I489" s="13">
        <v>363</v>
      </c>
      <c r="J489" s="13"/>
      <c r="K489" s="13">
        <v>363</v>
      </c>
      <c r="L489" s="13"/>
      <c r="M489" s="13">
        <v>363</v>
      </c>
      <c r="N489" s="13"/>
      <c r="O489" s="13">
        <v>363</v>
      </c>
      <c r="P489" s="13"/>
      <c r="Q489" s="13">
        <v>363</v>
      </c>
      <c r="R489" s="13"/>
      <c r="S489" s="13">
        <v>363</v>
      </c>
      <c r="T489" s="13"/>
      <c r="U489" s="13">
        <v>363</v>
      </c>
      <c r="V489" s="13"/>
      <c r="W489" s="13">
        <v>363</v>
      </c>
      <c r="X489" s="13"/>
      <c r="Y489" s="13">
        <v>363</v>
      </c>
      <c r="Z489" s="13"/>
      <c r="AA489" s="13">
        <v>363</v>
      </c>
      <c r="AB489" s="13"/>
      <c r="AC489" s="13">
        <v>363</v>
      </c>
      <c r="AD489" s="13"/>
      <c r="AE489" s="13">
        <v>363</v>
      </c>
      <c r="AF489" s="13"/>
      <c r="AG489" s="13">
        <v>363</v>
      </c>
      <c r="AH489" s="13"/>
      <c r="AI489">
        <v>363</v>
      </c>
      <c r="AK489">
        <v>363</v>
      </c>
      <c r="AM489" s="18"/>
      <c r="AO489" s="7">
        <v>1</v>
      </c>
    </row>
    <row r="490" spans="1:281" x14ac:dyDescent="0.3">
      <c r="A490" s="11" t="s">
        <v>1672</v>
      </c>
      <c r="B490" s="11" t="s">
        <v>1673</v>
      </c>
      <c r="C490" s="11"/>
      <c r="D490" s="46" t="s">
        <v>1674</v>
      </c>
      <c r="E490" s="11" t="s">
        <v>1675</v>
      </c>
      <c r="F490" s="11"/>
      <c r="G490" s="11"/>
      <c r="H490" s="25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M490" s="18"/>
    </row>
    <row r="491" spans="1:281" x14ac:dyDescent="0.3">
      <c r="A491" s="11" t="s">
        <v>1676</v>
      </c>
      <c r="B491" s="11" t="s">
        <v>39</v>
      </c>
      <c r="C491" s="9" t="s">
        <v>1677</v>
      </c>
      <c r="D491" s="46" t="s">
        <v>1678</v>
      </c>
      <c r="E491" s="11" t="s">
        <v>1679</v>
      </c>
      <c r="F491" s="11"/>
      <c r="G491" s="11"/>
      <c r="H491" s="16" t="s">
        <v>1680</v>
      </c>
      <c r="I491" s="13">
        <v>350</v>
      </c>
      <c r="J491" s="13"/>
      <c r="K491" s="13">
        <v>350</v>
      </c>
      <c r="L491" s="13"/>
      <c r="M491" s="13">
        <v>350</v>
      </c>
      <c r="N491" s="13"/>
      <c r="O491" s="13">
        <v>350</v>
      </c>
      <c r="P491" s="13"/>
      <c r="Q491" s="13">
        <v>350</v>
      </c>
      <c r="R491" s="13"/>
      <c r="S491" s="13">
        <v>350</v>
      </c>
      <c r="T491" s="13"/>
      <c r="U491" s="13">
        <v>350</v>
      </c>
      <c r="V491" s="13"/>
      <c r="W491" s="13">
        <v>350</v>
      </c>
      <c r="X491" s="13"/>
      <c r="Y491" s="13">
        <v>350</v>
      </c>
      <c r="Z491" s="13"/>
      <c r="AA491" s="13">
        <v>350</v>
      </c>
      <c r="AB491" s="13"/>
      <c r="AC491" s="13">
        <v>350</v>
      </c>
      <c r="AD491" s="13"/>
      <c r="AE491" s="13">
        <v>350</v>
      </c>
      <c r="AF491" s="13"/>
      <c r="AG491" s="13">
        <v>350</v>
      </c>
      <c r="AH491" s="13"/>
      <c r="AI491">
        <v>350</v>
      </c>
      <c r="AK491">
        <v>350</v>
      </c>
      <c r="AM491" s="18"/>
      <c r="AO491" s="7">
        <v>1</v>
      </c>
    </row>
    <row r="492" spans="1:281" x14ac:dyDescent="0.3">
      <c r="A492" s="8" t="s">
        <v>1681</v>
      </c>
      <c r="B492" s="8" t="s">
        <v>145</v>
      </c>
      <c r="C492" s="9"/>
      <c r="D492" s="46" t="s">
        <v>1678</v>
      </c>
      <c r="E492" s="11" t="s">
        <v>586</v>
      </c>
      <c r="F492" s="11"/>
      <c r="G492" s="11"/>
      <c r="H492" s="25" t="s">
        <v>1682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M492" s="18"/>
    </row>
    <row r="493" spans="1:281" x14ac:dyDescent="0.3">
      <c r="A493" s="8" t="s">
        <v>1683</v>
      </c>
      <c r="B493" s="8" t="s">
        <v>279</v>
      </c>
      <c r="C493" s="9" t="s">
        <v>1684</v>
      </c>
      <c r="D493" s="10" t="s">
        <v>1685</v>
      </c>
      <c r="E493" s="11" t="s">
        <v>1686</v>
      </c>
      <c r="F493" s="11"/>
      <c r="G493" s="11"/>
      <c r="H493" s="25" t="s">
        <v>1687</v>
      </c>
      <c r="I493" s="13">
        <v>350</v>
      </c>
      <c r="J493" s="13"/>
      <c r="K493" s="13">
        <v>350</v>
      </c>
      <c r="L493" s="13"/>
      <c r="M493" s="13">
        <v>350</v>
      </c>
      <c r="N493" s="13"/>
      <c r="O493" s="13">
        <v>350</v>
      </c>
      <c r="P493" s="13"/>
      <c r="Q493" s="13">
        <v>350</v>
      </c>
      <c r="R493" s="13"/>
      <c r="S493" s="13">
        <v>350</v>
      </c>
      <c r="T493" s="13"/>
      <c r="U493" s="13">
        <v>350</v>
      </c>
      <c r="V493" s="13"/>
      <c r="W493" s="13">
        <v>350</v>
      </c>
      <c r="X493" s="13"/>
      <c r="Y493" s="13">
        <v>350</v>
      </c>
      <c r="Z493" s="13"/>
      <c r="AA493" s="13">
        <v>350</v>
      </c>
      <c r="AB493" s="13"/>
      <c r="AC493" s="13">
        <v>350</v>
      </c>
      <c r="AD493" s="13"/>
      <c r="AE493" s="13">
        <v>350</v>
      </c>
      <c r="AF493" s="13"/>
      <c r="AG493" s="13">
        <v>350</v>
      </c>
      <c r="AH493" s="13"/>
      <c r="AI493">
        <v>350</v>
      </c>
      <c r="AK493">
        <v>350</v>
      </c>
      <c r="AM493" s="18"/>
      <c r="AO493" s="7">
        <v>1</v>
      </c>
    </row>
    <row r="494" spans="1:281" x14ac:dyDescent="0.3">
      <c r="A494" s="8" t="s">
        <v>46</v>
      </c>
      <c r="B494" s="8" t="s">
        <v>279</v>
      </c>
      <c r="C494" s="8" t="s">
        <v>506</v>
      </c>
      <c r="D494" s="10" t="s">
        <v>48</v>
      </c>
      <c r="E494" s="11" t="s">
        <v>1688</v>
      </c>
      <c r="F494" s="11" t="s">
        <v>1689</v>
      </c>
      <c r="G494" s="11"/>
      <c r="H494" s="25" t="s">
        <v>1690</v>
      </c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>
        <v>580</v>
      </c>
      <c r="AM494" s="18" t="s">
        <v>1691</v>
      </c>
      <c r="AO494" s="7">
        <v>1</v>
      </c>
    </row>
    <row r="495" spans="1:281" x14ac:dyDescent="0.3">
      <c r="A495" s="8" t="s">
        <v>1692</v>
      </c>
      <c r="B495" s="8" t="s">
        <v>279</v>
      </c>
      <c r="C495" s="8"/>
      <c r="D495" s="10" t="s">
        <v>48</v>
      </c>
      <c r="E495" s="11" t="s">
        <v>1693</v>
      </c>
      <c r="F495" s="11"/>
      <c r="G495" s="11"/>
      <c r="H495" s="12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M495" s="18"/>
    </row>
    <row r="496" spans="1:281" x14ac:dyDescent="0.3">
      <c r="A496" s="8" t="s">
        <v>1694</v>
      </c>
      <c r="B496" s="8" t="s">
        <v>279</v>
      </c>
      <c r="C496" s="8"/>
      <c r="D496" s="10" t="s">
        <v>1695</v>
      </c>
      <c r="E496" s="11"/>
      <c r="F496" s="11"/>
      <c r="G496" s="11"/>
      <c r="H496" s="12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M496" s="18"/>
    </row>
    <row r="497" spans="1:41" x14ac:dyDescent="0.3">
      <c r="A497" s="8" t="s">
        <v>1696</v>
      </c>
      <c r="B497" s="8" t="s">
        <v>279</v>
      </c>
      <c r="C497" s="8"/>
      <c r="D497" s="10" t="s">
        <v>1695</v>
      </c>
      <c r="E497" s="11" t="s">
        <v>1697</v>
      </c>
      <c r="F497" s="11"/>
      <c r="G497" s="11"/>
      <c r="H497" s="12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M497" s="18"/>
    </row>
    <row r="498" spans="1:41" x14ac:dyDescent="0.3">
      <c r="A498" s="8" t="s">
        <v>1698</v>
      </c>
      <c r="B498" s="8" t="s">
        <v>279</v>
      </c>
      <c r="C498" s="8"/>
      <c r="D498" s="10" t="s">
        <v>1699</v>
      </c>
      <c r="E498" s="11" t="s">
        <v>1700</v>
      </c>
      <c r="F498" s="11" t="s">
        <v>1701</v>
      </c>
      <c r="G498" s="11"/>
      <c r="H498" s="25" t="s">
        <v>1702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M498" s="18"/>
    </row>
    <row r="499" spans="1:41" x14ac:dyDescent="0.3">
      <c r="A499" s="8" t="s">
        <v>1703</v>
      </c>
      <c r="B499" s="8" t="s">
        <v>279</v>
      </c>
      <c r="C499" s="8" t="s">
        <v>1704</v>
      </c>
      <c r="D499" s="10" t="s">
        <v>1705</v>
      </c>
      <c r="E499" s="11" t="s">
        <v>1706</v>
      </c>
      <c r="F499" s="11"/>
      <c r="G499" s="11"/>
      <c r="H499" s="25" t="s">
        <v>1707</v>
      </c>
      <c r="I499" s="13">
        <v>300</v>
      </c>
      <c r="J499" s="30"/>
      <c r="K499" s="13">
        <v>300</v>
      </c>
      <c r="L499" s="30"/>
      <c r="M499" s="13">
        <v>300</v>
      </c>
      <c r="N499" s="30"/>
      <c r="O499" s="13">
        <v>300</v>
      </c>
      <c r="P499" s="30"/>
      <c r="Q499" s="13">
        <v>300</v>
      </c>
      <c r="R499" s="30"/>
      <c r="S499" s="13">
        <v>300</v>
      </c>
      <c r="T499" s="30"/>
      <c r="U499" s="13">
        <v>300</v>
      </c>
      <c r="V499" s="30"/>
      <c r="W499" s="13">
        <v>300</v>
      </c>
      <c r="X499" s="30"/>
      <c r="Y499" s="13">
        <v>300</v>
      </c>
      <c r="Z499" s="30"/>
      <c r="AA499" s="13">
        <v>300</v>
      </c>
      <c r="AB499" s="30"/>
      <c r="AC499" s="13">
        <v>300</v>
      </c>
      <c r="AD499" s="30"/>
      <c r="AE499" s="13">
        <v>300</v>
      </c>
      <c r="AF499" s="30"/>
      <c r="AG499" s="13">
        <v>300</v>
      </c>
      <c r="AH499" s="30"/>
      <c r="AI499">
        <v>300</v>
      </c>
      <c r="AK499">
        <v>300</v>
      </c>
      <c r="AM499" s="18"/>
      <c r="AO499" s="7">
        <v>1</v>
      </c>
    </row>
    <row r="500" spans="1:41" x14ac:dyDescent="0.3">
      <c r="A500" s="8" t="s">
        <v>1708</v>
      </c>
      <c r="B500" s="8" t="s">
        <v>279</v>
      </c>
      <c r="C500" s="8"/>
      <c r="D500" s="10" t="s">
        <v>1709</v>
      </c>
      <c r="E500" s="11"/>
      <c r="F500" s="11"/>
      <c r="G500" s="11"/>
      <c r="H500" s="25"/>
      <c r="I500" s="17"/>
      <c r="J500" s="20"/>
      <c r="K500" s="17"/>
      <c r="L500" s="20"/>
      <c r="M500" s="17"/>
      <c r="N500" s="20"/>
      <c r="O500" s="17"/>
      <c r="P500" s="20"/>
      <c r="Q500" s="17"/>
      <c r="R500" s="20"/>
      <c r="S500" s="17"/>
      <c r="T500" s="20"/>
      <c r="U500" s="17"/>
      <c r="V500" s="20"/>
      <c r="W500" s="17"/>
      <c r="X500" s="20"/>
      <c r="Y500" s="17"/>
      <c r="Z500" s="20"/>
      <c r="AA500" s="17"/>
      <c r="AB500" s="20"/>
      <c r="AC500" s="20"/>
      <c r="AD500" s="20"/>
      <c r="AE500" s="20"/>
      <c r="AF500" s="20"/>
      <c r="AG500" s="20"/>
      <c r="AH500" s="20"/>
      <c r="AM500" s="18"/>
    </row>
    <row r="501" spans="1:41" x14ac:dyDescent="0.3">
      <c r="A501" s="8" t="s">
        <v>1710</v>
      </c>
      <c r="B501" s="8" t="s">
        <v>279</v>
      </c>
      <c r="C501" s="8"/>
      <c r="D501" s="10" t="s">
        <v>1709</v>
      </c>
      <c r="E501" s="11" t="s">
        <v>1711</v>
      </c>
      <c r="F501" s="11"/>
      <c r="G501" s="11"/>
      <c r="H501" s="25"/>
      <c r="I501" s="17"/>
      <c r="J501" s="20"/>
      <c r="K501" s="17"/>
      <c r="L501" s="20"/>
      <c r="M501" s="17"/>
      <c r="N501" s="20"/>
      <c r="O501" s="17"/>
      <c r="P501" s="20"/>
      <c r="Q501" s="17"/>
      <c r="R501" s="20"/>
      <c r="S501" s="17"/>
      <c r="T501" s="20"/>
      <c r="U501" s="17"/>
      <c r="V501" s="20"/>
      <c r="W501" s="17"/>
      <c r="X501" s="20"/>
      <c r="Y501" s="17"/>
      <c r="Z501" s="20"/>
      <c r="AA501" s="17"/>
      <c r="AB501" s="20"/>
      <c r="AC501" s="20"/>
      <c r="AD501" s="20"/>
      <c r="AE501" s="20"/>
      <c r="AF501" s="20"/>
      <c r="AG501" s="20"/>
      <c r="AH501" s="20"/>
      <c r="AM501" s="18"/>
    </row>
    <row r="502" spans="1:41" x14ac:dyDescent="0.3">
      <c r="A502" s="8" t="s">
        <v>1712</v>
      </c>
      <c r="B502" s="8" t="s">
        <v>145</v>
      </c>
      <c r="C502" s="8" t="s">
        <v>506</v>
      </c>
      <c r="D502" s="10" t="s">
        <v>1713</v>
      </c>
      <c r="E502" s="11" t="s">
        <v>1714</v>
      </c>
      <c r="F502" s="11" t="s">
        <v>1715</v>
      </c>
      <c r="G502" s="11"/>
      <c r="H502" s="26" t="s">
        <v>1716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M502" s="18"/>
    </row>
    <row r="503" spans="1:41" x14ac:dyDescent="0.3">
      <c r="A503" s="8" t="s">
        <v>1717</v>
      </c>
      <c r="B503" s="8" t="s">
        <v>145</v>
      </c>
      <c r="C503" s="8"/>
      <c r="D503" s="10" t="s">
        <v>1713</v>
      </c>
      <c r="E503" s="11" t="s">
        <v>1718</v>
      </c>
      <c r="F503" s="11"/>
      <c r="G503" s="11"/>
      <c r="H503" s="26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M503" s="18"/>
    </row>
    <row r="504" spans="1:41" x14ac:dyDescent="0.3">
      <c r="A504" s="8" t="s">
        <v>1719</v>
      </c>
      <c r="B504" s="8" t="s">
        <v>68</v>
      </c>
      <c r="C504" s="8"/>
      <c r="D504" s="46" t="s">
        <v>1720</v>
      </c>
      <c r="E504" s="11" t="s">
        <v>1721</v>
      </c>
      <c r="F504" s="11"/>
      <c r="G504" s="11"/>
      <c r="H504" s="19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M504" s="18"/>
    </row>
    <row r="505" spans="1:41" x14ac:dyDescent="0.3">
      <c r="A505" s="8" t="s">
        <v>1722</v>
      </c>
      <c r="B505" s="8" t="s">
        <v>68</v>
      </c>
      <c r="C505" s="8"/>
      <c r="D505" s="46" t="s">
        <v>1723</v>
      </c>
      <c r="E505" s="11" t="s">
        <v>1724</v>
      </c>
      <c r="F505" s="11"/>
      <c r="G505" s="11"/>
      <c r="H505" s="19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M505" s="18"/>
    </row>
    <row r="506" spans="1:41" x14ac:dyDescent="0.3">
      <c r="A506" s="11" t="s">
        <v>1725</v>
      </c>
      <c r="B506" s="11" t="s">
        <v>178</v>
      </c>
      <c r="C506" s="9" t="s">
        <v>1726</v>
      </c>
      <c r="D506" s="46" t="s">
        <v>168</v>
      </c>
      <c r="E506" s="28"/>
      <c r="F506" s="28"/>
      <c r="G506" s="28"/>
      <c r="H506" s="19"/>
      <c r="I506" s="13">
        <v>132</v>
      </c>
      <c r="J506" s="13"/>
      <c r="K506" s="13">
        <v>132</v>
      </c>
      <c r="L506" s="13"/>
      <c r="M506" s="13">
        <v>132</v>
      </c>
      <c r="N506" s="13"/>
      <c r="O506" s="13">
        <v>132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>
        <v>132</v>
      </c>
      <c r="AH506" s="13"/>
      <c r="AI506">
        <v>132</v>
      </c>
      <c r="AK506">
        <v>132</v>
      </c>
      <c r="AM506" s="18"/>
      <c r="AO506" s="7">
        <v>1</v>
      </c>
    </row>
    <row r="507" spans="1:41" x14ac:dyDescent="0.3">
      <c r="A507" s="8" t="s">
        <v>1727</v>
      </c>
      <c r="B507" s="8" t="s">
        <v>94</v>
      </c>
      <c r="C507" s="8"/>
      <c r="D507" s="10" t="s">
        <v>1728</v>
      </c>
      <c r="E507" s="11" t="s">
        <v>1729</v>
      </c>
      <c r="F507" s="11"/>
      <c r="G507" s="11"/>
      <c r="H507" s="25" t="s">
        <v>1730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M507" s="18"/>
    </row>
    <row r="508" spans="1:41" x14ac:dyDescent="0.3">
      <c r="A508" s="11" t="s">
        <v>1731</v>
      </c>
      <c r="B508" s="8" t="s">
        <v>105</v>
      </c>
      <c r="C508" s="8"/>
      <c r="D508" s="46" t="s">
        <v>1732</v>
      </c>
      <c r="E508" s="11"/>
      <c r="F508" s="11"/>
      <c r="G508" s="11"/>
      <c r="H508" s="19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M508" s="18"/>
    </row>
    <row r="509" spans="1:41" x14ac:dyDescent="0.3">
      <c r="A509" s="11" t="s">
        <v>1733</v>
      </c>
      <c r="B509" s="11" t="s">
        <v>1673</v>
      </c>
      <c r="C509" s="9"/>
      <c r="D509" s="46" t="s">
        <v>215</v>
      </c>
      <c r="E509" s="11" t="s">
        <v>1734</v>
      </c>
      <c r="F509" s="11"/>
      <c r="G509" s="11"/>
      <c r="H509" s="19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M509" s="18"/>
    </row>
    <row r="510" spans="1:41" x14ac:dyDescent="0.3">
      <c r="A510" s="8" t="s">
        <v>1735</v>
      </c>
      <c r="B510" s="8" t="s">
        <v>145</v>
      </c>
      <c r="C510" s="8"/>
      <c r="D510" s="10" t="s">
        <v>1736</v>
      </c>
      <c r="E510" s="11"/>
      <c r="F510" s="11"/>
      <c r="G510" s="11"/>
      <c r="H510" s="12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M510" s="18"/>
    </row>
    <row r="511" spans="1:41" x14ac:dyDescent="0.3">
      <c r="A511" s="11" t="s">
        <v>1737</v>
      </c>
      <c r="B511" s="11" t="s">
        <v>1673</v>
      </c>
      <c r="C511" s="11"/>
      <c r="D511" s="46" t="s">
        <v>1738</v>
      </c>
      <c r="E511" s="11" t="s">
        <v>1739</v>
      </c>
      <c r="F511" s="11"/>
      <c r="G511" s="11"/>
      <c r="H511" s="25" t="s">
        <v>1740</v>
      </c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M511" s="18"/>
    </row>
    <row r="512" spans="1:41" x14ac:dyDescent="0.3">
      <c r="A512" s="11" t="s">
        <v>1741</v>
      </c>
      <c r="B512" s="11" t="s">
        <v>1673</v>
      </c>
      <c r="C512" s="11"/>
      <c r="D512" s="46" t="s">
        <v>1738</v>
      </c>
      <c r="E512" s="11" t="s">
        <v>1742</v>
      </c>
      <c r="F512" s="11"/>
      <c r="G512" s="11"/>
      <c r="H512" s="25" t="s">
        <v>1743</v>
      </c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M512" s="18"/>
    </row>
    <row r="513" spans="1:42" x14ac:dyDescent="0.3">
      <c r="A513" s="8" t="s">
        <v>303</v>
      </c>
      <c r="B513" s="11" t="s">
        <v>304</v>
      </c>
      <c r="C513" s="11"/>
      <c r="D513" s="58" t="s">
        <v>1744</v>
      </c>
      <c r="E513" s="11" t="s">
        <v>953</v>
      </c>
      <c r="F513" s="11"/>
      <c r="G513" s="11"/>
      <c r="H513" s="25" t="s">
        <v>1745</v>
      </c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L513">
        <v>350</v>
      </c>
      <c r="AM513" s="18"/>
    </row>
    <row r="514" spans="1:42" x14ac:dyDescent="0.3">
      <c r="A514" s="8" t="s">
        <v>1746</v>
      </c>
      <c r="B514" s="11" t="s">
        <v>452</v>
      </c>
      <c r="C514" s="11" t="s">
        <v>1747</v>
      </c>
      <c r="D514" s="58" t="s">
        <v>1744</v>
      </c>
      <c r="E514" s="11" t="s">
        <v>950</v>
      </c>
      <c r="F514" s="11"/>
      <c r="G514" s="11"/>
      <c r="H514" s="25" t="s">
        <v>1748</v>
      </c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13">
        <v>200</v>
      </c>
      <c r="AH514" s="30"/>
      <c r="AI514">
        <v>200</v>
      </c>
      <c r="AK514">
        <v>200</v>
      </c>
      <c r="AM514" s="39" t="s">
        <v>1749</v>
      </c>
      <c r="AN514" s="40"/>
      <c r="AO514" s="7">
        <v>1</v>
      </c>
    </row>
    <row r="515" spans="1:42" x14ac:dyDescent="0.3">
      <c r="A515" s="8" t="s">
        <v>121</v>
      </c>
      <c r="B515" s="8" t="s">
        <v>94</v>
      </c>
      <c r="C515" s="8"/>
      <c r="D515" s="46" t="s">
        <v>122</v>
      </c>
      <c r="E515" s="11" t="s">
        <v>1750</v>
      </c>
      <c r="F515" s="11" t="s">
        <v>1751</v>
      </c>
      <c r="G515" s="11"/>
      <c r="H515" s="25" t="s">
        <v>1752</v>
      </c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8"/>
      <c r="AH515" s="13">
        <v>500</v>
      </c>
      <c r="AM515" s="18" t="s">
        <v>500</v>
      </c>
      <c r="AP515" s="27">
        <v>500</v>
      </c>
    </row>
    <row r="516" spans="1:42" x14ac:dyDescent="0.3">
      <c r="A516" s="8" t="s">
        <v>93</v>
      </c>
      <c r="B516" s="8" t="s">
        <v>94</v>
      </c>
      <c r="C516" s="9" t="s">
        <v>1753</v>
      </c>
      <c r="D516" s="46" t="s">
        <v>95</v>
      </c>
      <c r="E516" s="11" t="s">
        <v>1754</v>
      </c>
      <c r="F516" s="11" t="s">
        <v>1755</v>
      </c>
      <c r="G516" s="11"/>
      <c r="H516" s="25" t="s">
        <v>1756</v>
      </c>
      <c r="I516" s="13">
        <v>350</v>
      </c>
      <c r="J516" s="13"/>
      <c r="K516" s="13">
        <v>350</v>
      </c>
      <c r="L516" s="13"/>
      <c r="M516" s="13">
        <v>350</v>
      </c>
      <c r="N516" s="13"/>
      <c r="O516" s="13">
        <v>350</v>
      </c>
      <c r="P516" s="13"/>
      <c r="Q516" s="13">
        <v>350</v>
      </c>
      <c r="R516" s="13"/>
      <c r="S516" s="13">
        <v>350</v>
      </c>
      <c r="T516" s="13"/>
      <c r="U516" s="13"/>
      <c r="V516" s="13">
        <v>350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>
        <v>600</v>
      </c>
      <c r="AM516" s="14" t="s">
        <v>500</v>
      </c>
      <c r="AP516" s="27">
        <v>600</v>
      </c>
    </row>
    <row r="517" spans="1:42" x14ac:dyDescent="0.3">
      <c r="A517" s="8" t="s">
        <v>1757</v>
      </c>
      <c r="B517" s="11" t="s">
        <v>132</v>
      </c>
      <c r="C517" s="9"/>
      <c r="D517" s="10" t="s">
        <v>1758</v>
      </c>
      <c r="E517" s="11" t="s">
        <v>1759</v>
      </c>
      <c r="F517" s="11"/>
      <c r="G517" s="11"/>
      <c r="H517" s="25" t="s">
        <v>1760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M517" s="18"/>
    </row>
    <row r="518" spans="1:42" x14ac:dyDescent="0.3">
      <c r="A518" s="8" t="s">
        <v>1761</v>
      </c>
      <c r="B518" s="8" t="s">
        <v>139</v>
      </c>
      <c r="C518" s="9" t="s">
        <v>1762</v>
      </c>
      <c r="D518" s="10" t="s">
        <v>1763</v>
      </c>
      <c r="E518" s="11"/>
      <c r="F518" s="11"/>
      <c r="G518" s="11"/>
      <c r="H518" s="12"/>
      <c r="I518" s="13">
        <v>300</v>
      </c>
      <c r="J518" s="13"/>
      <c r="K518" s="13">
        <v>300</v>
      </c>
      <c r="L518" s="13"/>
      <c r="M518" s="13">
        <v>300</v>
      </c>
      <c r="N518" s="13"/>
      <c r="O518" s="13">
        <v>300</v>
      </c>
      <c r="P518" s="13"/>
      <c r="Q518" s="13">
        <v>300</v>
      </c>
      <c r="R518" s="13"/>
      <c r="S518" s="13">
        <v>300</v>
      </c>
      <c r="T518" s="13"/>
      <c r="U518" s="13">
        <v>300</v>
      </c>
      <c r="V518" s="13"/>
      <c r="W518" s="13">
        <v>300</v>
      </c>
      <c r="X518" s="13"/>
      <c r="Y518" s="13">
        <v>300</v>
      </c>
      <c r="Z518" s="13"/>
      <c r="AA518" s="13">
        <v>300</v>
      </c>
      <c r="AB518" s="13"/>
      <c r="AC518" s="13">
        <v>300</v>
      </c>
      <c r="AD518" s="13"/>
      <c r="AE518" s="13">
        <v>300</v>
      </c>
      <c r="AF518" s="13"/>
      <c r="AG518" s="13">
        <v>300</v>
      </c>
      <c r="AH518" s="13"/>
      <c r="AI518">
        <v>300</v>
      </c>
      <c r="AK518">
        <v>300</v>
      </c>
      <c r="AM518" s="18"/>
      <c r="AO518" s="7">
        <v>1</v>
      </c>
    </row>
    <row r="519" spans="1:42" x14ac:dyDescent="0.3">
      <c r="A519" s="8" t="s">
        <v>1764</v>
      </c>
      <c r="B519" s="8" t="s">
        <v>68</v>
      </c>
      <c r="C519" s="8"/>
      <c r="D519" s="10" t="s">
        <v>1765</v>
      </c>
      <c r="E519" s="11" t="s">
        <v>1766</v>
      </c>
      <c r="F519" s="11"/>
      <c r="G519" s="11"/>
      <c r="H519" s="12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M519" s="18"/>
    </row>
    <row r="520" spans="1:42" x14ac:dyDescent="0.3">
      <c r="A520" s="11" t="s">
        <v>1767</v>
      </c>
      <c r="B520" s="11" t="s">
        <v>1768</v>
      </c>
      <c r="C520" s="11"/>
      <c r="D520" s="46" t="s">
        <v>1769</v>
      </c>
      <c r="E520" s="11" t="s">
        <v>1770</v>
      </c>
      <c r="F520" s="11"/>
      <c r="G520" s="11"/>
      <c r="H520" s="25" t="s">
        <v>1771</v>
      </c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M520" s="18"/>
    </row>
    <row r="521" spans="1:42" x14ac:dyDescent="0.3">
      <c r="A521" s="11" t="s">
        <v>1772</v>
      </c>
      <c r="B521" s="11" t="s">
        <v>1768</v>
      </c>
      <c r="C521" s="9" t="s">
        <v>1773</v>
      </c>
      <c r="D521" s="46" t="s">
        <v>1774</v>
      </c>
      <c r="E521" s="11" t="s">
        <v>1775</v>
      </c>
      <c r="F521" s="11"/>
      <c r="G521" s="11"/>
      <c r="H521" s="19"/>
      <c r="I521" s="13">
        <v>350</v>
      </c>
      <c r="J521" s="13"/>
      <c r="K521" s="13">
        <v>350</v>
      </c>
      <c r="L521" s="13"/>
      <c r="M521" s="13">
        <v>350</v>
      </c>
      <c r="N521" s="13"/>
      <c r="O521" s="13">
        <v>350</v>
      </c>
      <c r="P521" s="13"/>
      <c r="Q521" s="13">
        <v>350</v>
      </c>
      <c r="R521" s="13"/>
      <c r="S521" s="13">
        <v>350</v>
      </c>
      <c r="T521" s="13"/>
      <c r="U521" s="13">
        <v>350</v>
      </c>
      <c r="V521" s="13"/>
      <c r="W521" s="13">
        <v>350</v>
      </c>
      <c r="X521" s="13"/>
      <c r="Y521" s="13">
        <v>350</v>
      </c>
      <c r="Z521" s="13"/>
      <c r="AA521" s="13">
        <v>350</v>
      </c>
      <c r="AB521" s="13"/>
      <c r="AC521" s="13">
        <v>350</v>
      </c>
      <c r="AD521" s="13"/>
      <c r="AE521" s="13">
        <v>350</v>
      </c>
      <c r="AF521" s="13"/>
      <c r="AG521" s="13">
        <v>350</v>
      </c>
      <c r="AH521" s="13"/>
      <c r="AI521">
        <v>350</v>
      </c>
      <c r="AK521">
        <v>350</v>
      </c>
      <c r="AM521" s="18"/>
      <c r="AO521" s="7">
        <v>1</v>
      </c>
    </row>
    <row r="522" spans="1:42" x14ac:dyDescent="0.3">
      <c r="A522" s="8" t="s">
        <v>1776</v>
      </c>
      <c r="B522" s="8" t="s">
        <v>105</v>
      </c>
      <c r="C522" s="9" t="s">
        <v>1777</v>
      </c>
      <c r="D522" s="10" t="s">
        <v>1778</v>
      </c>
      <c r="E522" s="11" t="s">
        <v>1779</v>
      </c>
      <c r="F522" s="11"/>
      <c r="G522" s="11"/>
      <c r="H522" s="25" t="s">
        <v>1780</v>
      </c>
      <c r="I522" s="13">
        <v>350</v>
      </c>
      <c r="J522" s="13"/>
      <c r="K522" s="13">
        <v>350</v>
      </c>
      <c r="L522" s="13"/>
      <c r="M522" s="13">
        <v>350</v>
      </c>
      <c r="N522" s="13"/>
      <c r="O522" s="13">
        <v>350</v>
      </c>
      <c r="P522" s="13"/>
      <c r="Q522" s="13">
        <v>350</v>
      </c>
      <c r="R522" s="13"/>
      <c r="S522" s="13">
        <v>350</v>
      </c>
      <c r="T522" s="13"/>
      <c r="U522" s="13">
        <v>350</v>
      </c>
      <c r="V522" s="13"/>
      <c r="W522" s="13">
        <v>350</v>
      </c>
      <c r="X522" s="13"/>
      <c r="Y522" s="13">
        <v>350</v>
      </c>
      <c r="Z522" s="13"/>
      <c r="AA522" s="13">
        <v>350</v>
      </c>
      <c r="AB522" s="13"/>
      <c r="AC522" s="13">
        <v>350</v>
      </c>
      <c r="AD522" s="13"/>
      <c r="AE522" s="13">
        <v>350</v>
      </c>
      <c r="AF522" s="13"/>
      <c r="AG522" s="13">
        <v>350</v>
      </c>
      <c r="AH522" s="13"/>
      <c r="AI522">
        <v>350</v>
      </c>
      <c r="AK522">
        <v>350</v>
      </c>
      <c r="AM522" s="18"/>
      <c r="AO522" s="7">
        <v>1</v>
      </c>
    </row>
    <row r="523" spans="1:42" x14ac:dyDescent="0.3">
      <c r="A523" s="8" t="s">
        <v>1781</v>
      </c>
      <c r="B523" s="8" t="s">
        <v>34</v>
      </c>
      <c r="C523" s="8" t="s">
        <v>1782</v>
      </c>
      <c r="D523" s="10" t="s">
        <v>1783</v>
      </c>
      <c r="E523" s="11"/>
      <c r="F523" s="11"/>
      <c r="G523" s="11"/>
      <c r="H523" s="19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M523" s="18"/>
    </row>
    <row r="524" spans="1:42" x14ac:dyDescent="0.3">
      <c r="A524" s="11" t="s">
        <v>1784</v>
      </c>
      <c r="B524" s="11" t="s">
        <v>39</v>
      </c>
      <c r="C524" s="9" t="s">
        <v>1785</v>
      </c>
      <c r="D524" s="46" t="s">
        <v>112</v>
      </c>
      <c r="E524" s="11" t="s">
        <v>1786</v>
      </c>
      <c r="F524" s="11" t="s">
        <v>1787</v>
      </c>
      <c r="G524" s="11"/>
      <c r="H524" s="25" t="s">
        <v>1788</v>
      </c>
      <c r="I524" s="13">
        <v>350</v>
      </c>
      <c r="J524" s="13"/>
      <c r="K524" s="13">
        <v>350</v>
      </c>
      <c r="L524" s="13"/>
      <c r="M524" s="13">
        <v>350</v>
      </c>
      <c r="N524" s="13"/>
      <c r="O524" s="13">
        <v>350</v>
      </c>
      <c r="P524" s="13"/>
      <c r="Q524" s="13">
        <v>350</v>
      </c>
      <c r="R524" s="13"/>
      <c r="S524" s="13">
        <v>350</v>
      </c>
      <c r="T524" s="13"/>
      <c r="U524" s="13">
        <v>350</v>
      </c>
      <c r="V524" s="13"/>
      <c r="W524" s="13">
        <v>350</v>
      </c>
      <c r="X524" s="13"/>
      <c r="Y524" s="13">
        <v>350</v>
      </c>
      <c r="Z524" s="13"/>
      <c r="AA524" s="13">
        <v>350</v>
      </c>
      <c r="AB524" s="13"/>
      <c r="AC524" s="13">
        <v>350</v>
      </c>
      <c r="AD524" s="13"/>
      <c r="AE524" s="13">
        <v>350</v>
      </c>
      <c r="AF524" s="13"/>
      <c r="AG524" s="13">
        <v>350</v>
      </c>
      <c r="AH524" s="13"/>
      <c r="AI524">
        <v>350</v>
      </c>
      <c r="AK524">
        <v>350</v>
      </c>
      <c r="AM524" s="18"/>
      <c r="AO524" s="7">
        <v>1</v>
      </c>
    </row>
    <row r="525" spans="1:42" x14ac:dyDescent="0.3">
      <c r="A525" s="11" t="s">
        <v>1789</v>
      </c>
      <c r="B525" s="11" t="s">
        <v>39</v>
      </c>
      <c r="C525" s="9"/>
      <c r="D525" s="46" t="s">
        <v>112</v>
      </c>
      <c r="E525" s="11" t="s">
        <v>1790</v>
      </c>
      <c r="F525" s="11"/>
      <c r="G525" s="11"/>
      <c r="H525" s="25" t="s">
        <v>1791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M525" s="18"/>
    </row>
    <row r="526" spans="1:42" x14ac:dyDescent="0.3">
      <c r="A526" s="11" t="s">
        <v>1792</v>
      </c>
      <c r="B526" s="8" t="s">
        <v>25</v>
      </c>
      <c r="C526" s="9"/>
      <c r="D526" s="10" t="s">
        <v>1793</v>
      </c>
      <c r="E526" s="11" t="s">
        <v>1794</v>
      </c>
      <c r="F526" s="11"/>
      <c r="G526" s="11"/>
      <c r="H526" s="25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M526" s="18"/>
    </row>
    <row r="527" spans="1:42" x14ac:dyDescent="0.3">
      <c r="A527" s="8" t="s">
        <v>1795</v>
      </c>
      <c r="B527" s="8" t="s">
        <v>249</v>
      </c>
      <c r="C527" s="9"/>
      <c r="D527" s="10" t="s">
        <v>1796</v>
      </c>
      <c r="E527" s="11" t="s">
        <v>1797</v>
      </c>
      <c r="F527" s="11"/>
      <c r="G527" s="11"/>
      <c r="H527" s="12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M527" s="18"/>
    </row>
    <row r="528" spans="1:42" x14ac:dyDescent="0.3">
      <c r="A528" s="8" t="s">
        <v>1798</v>
      </c>
      <c r="B528" s="11" t="s">
        <v>132</v>
      </c>
      <c r="C528" s="11"/>
      <c r="D528" s="10"/>
      <c r="E528" s="11" t="s">
        <v>1799</v>
      </c>
      <c r="F528" s="11"/>
      <c r="G528" s="11"/>
      <c r="H528" s="12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M528" s="18"/>
    </row>
    <row r="529" spans="1:42" x14ac:dyDescent="0.3">
      <c r="A529" s="8" t="s">
        <v>1800</v>
      </c>
      <c r="B529" s="8" t="s">
        <v>145</v>
      </c>
      <c r="C529" s="8"/>
      <c r="D529" s="10"/>
      <c r="E529" s="11" t="s">
        <v>1801</v>
      </c>
      <c r="F529" s="11"/>
      <c r="G529" s="11"/>
      <c r="H529" s="26" t="s">
        <v>1802</v>
      </c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M529" s="18"/>
    </row>
    <row r="530" spans="1:42" x14ac:dyDescent="0.3">
      <c r="A530" s="41" t="s">
        <v>1803</v>
      </c>
      <c r="B530" s="41" t="s">
        <v>469</v>
      </c>
      <c r="C530" s="41"/>
      <c r="D530" s="42"/>
      <c r="E530" s="41"/>
      <c r="F530" s="41"/>
      <c r="G530" s="41"/>
      <c r="H530" s="25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3">
        <v>500</v>
      </c>
      <c r="AM530" s="18" t="s">
        <v>500</v>
      </c>
      <c r="AP530" s="27">
        <v>500</v>
      </c>
    </row>
    <row r="531" spans="1:42" x14ac:dyDescent="0.3">
      <c r="A531" s="41" t="s">
        <v>132</v>
      </c>
      <c r="B531" s="41" t="s">
        <v>469</v>
      </c>
      <c r="C531" s="41"/>
      <c r="D531" s="42"/>
      <c r="E531" s="41"/>
      <c r="F531" s="41"/>
      <c r="G531" s="41"/>
      <c r="H531" s="25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3">
        <v>1000</v>
      </c>
      <c r="AM531" s="18" t="s">
        <v>500</v>
      </c>
      <c r="AP531" s="27">
        <v>1000</v>
      </c>
    </row>
    <row r="532" spans="1:42" x14ac:dyDescent="0.3">
      <c r="A532" s="41" t="s">
        <v>1804</v>
      </c>
      <c r="B532" s="41" t="s">
        <v>469</v>
      </c>
      <c r="C532" s="41"/>
      <c r="D532" s="42"/>
      <c r="E532" s="41"/>
      <c r="F532" s="41"/>
      <c r="G532" s="41"/>
      <c r="H532" s="25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3">
        <v>600</v>
      </c>
      <c r="AM532" s="18" t="s">
        <v>500</v>
      </c>
      <c r="AP532" s="27">
        <v>600</v>
      </c>
    </row>
    <row r="533" spans="1:42" x14ac:dyDescent="0.3">
      <c r="A533" s="41" t="s">
        <v>1805</v>
      </c>
      <c r="B533" s="41" t="s">
        <v>469</v>
      </c>
      <c r="C533" s="41"/>
      <c r="D533" s="42"/>
      <c r="E533" s="41"/>
      <c r="F533" s="41"/>
      <c r="G533" s="41"/>
      <c r="H533" s="25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3">
        <v>500</v>
      </c>
      <c r="AM533" s="18" t="s">
        <v>500</v>
      </c>
      <c r="AP533" s="27">
        <v>500</v>
      </c>
    </row>
    <row r="534" spans="1:42" x14ac:dyDescent="0.3">
      <c r="A534" s="41" t="s">
        <v>1806</v>
      </c>
      <c r="B534" s="41" t="s">
        <v>469</v>
      </c>
      <c r="C534" s="41"/>
      <c r="D534" s="42"/>
      <c r="E534" s="41"/>
      <c r="F534" s="41"/>
      <c r="G534" s="41"/>
      <c r="H534" s="25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3">
        <v>500</v>
      </c>
      <c r="AM534" s="18" t="s">
        <v>500</v>
      </c>
      <c r="AN534">
        <v>500</v>
      </c>
      <c r="AP534" s="27">
        <v>500</v>
      </c>
    </row>
    <row r="535" spans="1:42" x14ac:dyDescent="0.3">
      <c r="D535">
        <f>COUNTA(_xlfn.UNIQUE(D2:D534))</f>
        <v>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8"/>
  <sheetViews>
    <sheetView workbookViewId="0">
      <pane ySplit="1" topLeftCell="A43" activePane="bottomLeft" state="frozen"/>
      <selection pane="bottomLeft" activeCell="I57" sqref="I57"/>
    </sheetView>
  </sheetViews>
  <sheetFormatPr defaultRowHeight="14.4" x14ac:dyDescent="0.3"/>
  <cols>
    <col min="1" max="1" width="38" customWidth="1"/>
    <col min="2" max="2" width="5" customWidth="1"/>
    <col min="3" max="3" width="12" customWidth="1"/>
    <col min="4" max="4" width="16" customWidth="1"/>
    <col min="5" max="7" width="5" customWidth="1"/>
  </cols>
  <sheetData>
    <row r="1" spans="1:7" ht="25.95" customHeight="1" x14ac:dyDescent="0.3">
      <c r="A1" s="312" t="s">
        <v>1970</v>
      </c>
      <c r="B1" s="282"/>
      <c r="C1" s="282"/>
      <c r="D1" s="282"/>
      <c r="E1" s="282"/>
      <c r="F1" s="282"/>
      <c r="G1" s="282"/>
    </row>
    <row r="2" spans="1:7" ht="7.95" customHeight="1" x14ac:dyDescent="0.3"/>
    <row r="3" spans="1:7" ht="19.95" customHeight="1" x14ac:dyDescent="0.3">
      <c r="A3" s="314" t="s">
        <v>1971</v>
      </c>
      <c r="B3" s="282"/>
      <c r="C3" s="282"/>
      <c r="D3" s="282"/>
      <c r="E3" s="282"/>
      <c r="F3" s="282"/>
      <c r="G3" s="282"/>
    </row>
    <row r="4" spans="1:7" ht="13.95" customHeight="1" x14ac:dyDescent="0.3">
      <c r="A4" s="256" t="s">
        <v>1972</v>
      </c>
      <c r="B4" s="257"/>
      <c r="C4" s="257" t="s">
        <v>1973</v>
      </c>
      <c r="D4" s="257" t="s">
        <v>376</v>
      </c>
      <c r="E4" s="257"/>
      <c r="F4" s="257"/>
      <c r="G4" s="257"/>
    </row>
    <row r="5" spans="1:7" ht="16.05" customHeight="1" x14ac:dyDescent="0.3">
      <c r="A5" s="315" t="s">
        <v>1974</v>
      </c>
      <c r="B5" s="282"/>
      <c r="C5" s="282"/>
      <c r="D5" s="282"/>
      <c r="E5" s="282"/>
      <c r="F5" s="282"/>
      <c r="G5" s="282"/>
    </row>
    <row r="6" spans="1:7" ht="15" customHeight="1" x14ac:dyDescent="0.3">
      <c r="A6" s="258" t="s">
        <v>1975</v>
      </c>
      <c r="B6" s="259"/>
      <c r="C6" s="260">
        <v>14</v>
      </c>
      <c r="D6" s="261">
        <v>19625</v>
      </c>
      <c r="E6" s="259"/>
      <c r="F6" s="259"/>
      <c r="G6" s="259"/>
    </row>
    <row r="7" spans="1:7" ht="15" customHeight="1" x14ac:dyDescent="0.3">
      <c r="A7" s="258" t="s">
        <v>1976</v>
      </c>
      <c r="B7" s="259"/>
      <c r="C7" s="260">
        <v>45</v>
      </c>
      <c r="D7" s="261">
        <v>26750</v>
      </c>
      <c r="E7" s="259"/>
      <c r="F7" s="259"/>
      <c r="G7" s="259"/>
    </row>
    <row r="8" spans="1:7" ht="15" customHeight="1" x14ac:dyDescent="0.3">
      <c r="A8" s="258" t="s">
        <v>1977</v>
      </c>
      <c r="B8" s="259"/>
      <c r="C8" s="260">
        <v>10</v>
      </c>
      <c r="D8" s="261">
        <v>11400</v>
      </c>
      <c r="E8" s="259"/>
      <c r="F8" s="259"/>
      <c r="G8" s="259"/>
    </row>
    <row r="9" spans="1:7" ht="15" customHeight="1" x14ac:dyDescent="0.3">
      <c r="A9" s="258" t="s">
        <v>1978</v>
      </c>
      <c r="B9" s="259"/>
      <c r="C9" s="260">
        <v>5</v>
      </c>
      <c r="D9" s="261">
        <v>3100</v>
      </c>
      <c r="E9" s="259"/>
      <c r="F9" s="259"/>
      <c r="G9" s="259"/>
    </row>
    <row r="10" spans="1:7" ht="15" customHeight="1" x14ac:dyDescent="0.3">
      <c r="A10" s="262" t="s">
        <v>1979</v>
      </c>
      <c r="B10" s="263"/>
      <c r="C10" s="263"/>
      <c r="D10" s="264">
        <v>60875</v>
      </c>
      <c r="E10" s="263"/>
      <c r="F10" s="263"/>
      <c r="G10" s="263"/>
    </row>
    <row r="11" spans="1:7" ht="7.95" customHeight="1" x14ac:dyDescent="0.3"/>
    <row r="12" spans="1:7" ht="16.05" customHeight="1" x14ac:dyDescent="0.3">
      <c r="A12" s="315" t="s">
        <v>1980</v>
      </c>
      <c r="B12" s="282"/>
      <c r="C12" s="282"/>
      <c r="D12" s="282"/>
      <c r="E12" s="282"/>
      <c r="F12" s="282"/>
      <c r="G12" s="282"/>
    </row>
    <row r="13" spans="1:7" ht="15" customHeight="1" x14ac:dyDescent="0.3">
      <c r="A13" s="258" t="s">
        <v>1868</v>
      </c>
      <c r="B13" s="259"/>
      <c r="C13" s="260">
        <v>1</v>
      </c>
      <c r="D13" s="261">
        <v>12500</v>
      </c>
      <c r="E13" s="259"/>
      <c r="F13" s="259"/>
      <c r="G13" s="259"/>
    </row>
    <row r="14" spans="1:7" ht="15" customHeight="1" x14ac:dyDescent="0.3">
      <c r="A14" s="258" t="s">
        <v>1981</v>
      </c>
      <c r="B14" s="259"/>
      <c r="C14" s="260">
        <v>1</v>
      </c>
      <c r="D14" s="261">
        <v>3834</v>
      </c>
      <c r="E14" s="259"/>
      <c r="F14" s="259"/>
      <c r="G14" s="259"/>
    </row>
    <row r="15" spans="1:7" ht="15" customHeight="1" x14ac:dyDescent="0.3">
      <c r="A15" s="258" t="s">
        <v>1892</v>
      </c>
      <c r="B15" s="259"/>
      <c r="C15" s="260">
        <v>1</v>
      </c>
      <c r="D15" s="261">
        <v>14500</v>
      </c>
      <c r="E15" s="259"/>
      <c r="F15" s="259"/>
      <c r="G15" s="259"/>
    </row>
    <row r="16" spans="1:7" ht="15" customHeight="1" x14ac:dyDescent="0.3">
      <c r="A16" s="258" t="s">
        <v>1982</v>
      </c>
      <c r="B16" s="259"/>
      <c r="C16" s="260">
        <v>2</v>
      </c>
      <c r="D16" s="261">
        <v>943.02</v>
      </c>
      <c r="E16" s="259"/>
      <c r="F16" s="259"/>
      <c r="G16" s="259"/>
    </row>
    <row r="17" spans="1:7" ht="15" customHeight="1" x14ac:dyDescent="0.3">
      <c r="A17" s="258" t="s">
        <v>1983</v>
      </c>
      <c r="B17" s="259"/>
      <c r="C17" s="260">
        <v>1</v>
      </c>
      <c r="D17" s="261">
        <v>4000</v>
      </c>
      <c r="E17" s="259"/>
      <c r="F17" s="259"/>
      <c r="G17" s="259"/>
    </row>
    <row r="18" spans="1:7" ht="15" customHeight="1" x14ac:dyDescent="0.3">
      <c r="A18" s="258" t="s">
        <v>1984</v>
      </c>
      <c r="B18" s="259"/>
      <c r="C18" s="260">
        <v>3</v>
      </c>
      <c r="D18" s="261">
        <v>464.98</v>
      </c>
      <c r="E18" s="259"/>
      <c r="F18" s="259"/>
      <c r="G18" s="259"/>
    </row>
    <row r="19" spans="1:7" ht="15" customHeight="1" x14ac:dyDescent="0.3">
      <c r="A19" s="258" t="s">
        <v>1985</v>
      </c>
      <c r="B19" s="259"/>
      <c r="C19" s="260">
        <v>2</v>
      </c>
      <c r="D19" s="261">
        <v>550</v>
      </c>
      <c r="E19" s="259"/>
      <c r="F19" s="259"/>
      <c r="G19" s="259"/>
    </row>
    <row r="20" spans="1:7" ht="15" customHeight="1" x14ac:dyDescent="0.3">
      <c r="A20" s="262" t="s">
        <v>1986</v>
      </c>
      <c r="B20" s="263"/>
      <c r="C20" s="263"/>
      <c r="D20" s="264">
        <v>36792</v>
      </c>
      <c r="E20" s="263"/>
      <c r="F20" s="263"/>
      <c r="G20" s="263"/>
    </row>
    <row r="21" spans="1:7" ht="7.95" customHeight="1" x14ac:dyDescent="0.3"/>
    <row r="22" spans="1:7" ht="16.05" customHeight="1" x14ac:dyDescent="0.3">
      <c r="A22" s="315" t="s">
        <v>1987</v>
      </c>
      <c r="B22" s="282"/>
      <c r="C22" s="282"/>
      <c r="D22" s="282"/>
      <c r="E22" s="282"/>
      <c r="F22" s="282"/>
      <c r="G22" s="282"/>
    </row>
    <row r="23" spans="1:7" ht="15" customHeight="1" x14ac:dyDescent="0.3">
      <c r="A23" s="258" t="s">
        <v>1988</v>
      </c>
      <c r="B23" s="259"/>
      <c r="C23" s="259"/>
      <c r="D23" s="261">
        <v>18210.900000000001</v>
      </c>
      <c r="E23" s="259"/>
      <c r="F23" s="259"/>
      <c r="G23" s="259"/>
    </row>
    <row r="24" spans="1:7" ht="15" customHeight="1" x14ac:dyDescent="0.3">
      <c r="A24" s="258" t="s">
        <v>1989</v>
      </c>
      <c r="B24" s="259"/>
      <c r="C24" s="259"/>
      <c r="D24" s="261">
        <v>60875</v>
      </c>
      <c r="E24" s="259"/>
      <c r="F24" s="259"/>
      <c r="G24" s="259"/>
    </row>
    <row r="25" spans="1:7" ht="15" customHeight="1" x14ac:dyDescent="0.3">
      <c r="A25" s="258" t="s">
        <v>1990</v>
      </c>
      <c r="B25" s="259"/>
      <c r="C25" s="259"/>
      <c r="D25" s="261">
        <v>36792</v>
      </c>
      <c r="E25" s="259"/>
      <c r="F25" s="259"/>
      <c r="G25" s="259"/>
    </row>
    <row r="26" spans="1:7" ht="15" customHeight="1" x14ac:dyDescent="0.3">
      <c r="A26" s="258" t="s">
        <v>1991</v>
      </c>
      <c r="B26" s="259"/>
      <c r="C26" s="259"/>
      <c r="D26" s="261">
        <v>42293.9</v>
      </c>
      <c r="E26" s="259"/>
      <c r="F26" s="259"/>
      <c r="G26" s="259"/>
    </row>
    <row r="27" spans="1:7" ht="15" customHeight="1" x14ac:dyDescent="0.3">
      <c r="A27" s="258" t="s">
        <v>1992</v>
      </c>
      <c r="B27" s="259"/>
      <c r="C27" s="259"/>
      <c r="D27" s="261">
        <v>42267.9</v>
      </c>
      <c r="E27" s="259"/>
      <c r="F27" s="259"/>
      <c r="G27" s="259"/>
    </row>
    <row r="28" spans="1:7" ht="15" customHeight="1" x14ac:dyDescent="0.3">
      <c r="A28" s="265" t="s">
        <v>1993</v>
      </c>
      <c r="B28" s="259"/>
      <c r="C28" s="259"/>
      <c r="D28" s="266">
        <v>-26</v>
      </c>
      <c r="E28" s="259"/>
      <c r="F28" s="259"/>
      <c r="G28" s="259"/>
    </row>
    <row r="29" spans="1:7" ht="7.95" customHeight="1" x14ac:dyDescent="0.3"/>
    <row r="30" spans="1:7" ht="13.95" customHeight="1" x14ac:dyDescent="0.3">
      <c r="A30" s="316" t="s">
        <v>1994</v>
      </c>
      <c r="B30" s="282"/>
      <c r="C30" s="282"/>
      <c r="D30" s="282"/>
      <c r="E30" s="282"/>
      <c r="F30" s="282"/>
      <c r="G30" s="282"/>
    </row>
    <row r="31" spans="1:7" ht="7.95" customHeight="1" x14ac:dyDescent="0.3"/>
    <row r="32" spans="1:7" ht="7.95" customHeight="1" x14ac:dyDescent="0.3"/>
    <row r="33" spans="1:7" ht="19.95" customHeight="1" x14ac:dyDescent="0.3">
      <c r="A33" s="314" t="s">
        <v>1995</v>
      </c>
      <c r="B33" s="282"/>
      <c r="C33" s="282"/>
      <c r="D33" s="282"/>
      <c r="E33" s="282"/>
      <c r="F33" s="282"/>
      <c r="G33" s="282"/>
    </row>
    <row r="34" spans="1:7" ht="13.95" customHeight="1" x14ac:dyDescent="0.3">
      <c r="A34" s="256" t="s">
        <v>1972</v>
      </c>
      <c r="B34" s="257"/>
      <c r="C34" s="257" t="s">
        <v>1973</v>
      </c>
      <c r="D34" s="257" t="s">
        <v>376</v>
      </c>
      <c r="E34" s="257"/>
      <c r="F34" s="257"/>
      <c r="G34" s="257"/>
    </row>
    <row r="35" spans="1:7" ht="16.05" customHeight="1" x14ac:dyDescent="0.3">
      <c r="A35" s="315" t="s">
        <v>1974</v>
      </c>
      <c r="B35" s="282"/>
      <c r="C35" s="282"/>
      <c r="D35" s="282"/>
      <c r="E35" s="282"/>
      <c r="F35" s="282"/>
      <c r="G35" s="282"/>
    </row>
    <row r="36" spans="1:7" ht="15" customHeight="1" x14ac:dyDescent="0.3">
      <c r="A36" s="258" t="s">
        <v>1996</v>
      </c>
      <c r="B36" s="259"/>
      <c r="C36" s="260">
        <v>12</v>
      </c>
      <c r="D36" s="261">
        <v>19625</v>
      </c>
      <c r="E36" s="259"/>
      <c r="F36" s="259"/>
      <c r="G36" s="259"/>
    </row>
    <row r="37" spans="1:7" ht="15" customHeight="1" x14ac:dyDescent="0.3">
      <c r="A37" s="258" t="s">
        <v>1976</v>
      </c>
      <c r="B37" s="259"/>
      <c r="C37" s="260">
        <v>18</v>
      </c>
      <c r="D37" s="261">
        <v>5180</v>
      </c>
      <c r="E37" s="259"/>
      <c r="F37" s="259"/>
      <c r="G37" s="259"/>
    </row>
    <row r="38" spans="1:7" ht="15" customHeight="1" x14ac:dyDescent="0.3">
      <c r="A38" s="258" t="s">
        <v>1977</v>
      </c>
      <c r="B38" s="259"/>
      <c r="C38" s="260">
        <v>8</v>
      </c>
      <c r="D38" s="261">
        <v>8850</v>
      </c>
      <c r="E38" s="259"/>
      <c r="F38" s="259"/>
      <c r="G38" s="259"/>
    </row>
    <row r="39" spans="1:7" ht="15" customHeight="1" x14ac:dyDescent="0.3">
      <c r="A39" s="258" t="s">
        <v>1978</v>
      </c>
      <c r="B39" s="259"/>
      <c r="C39" s="260">
        <v>2</v>
      </c>
      <c r="D39" s="261">
        <v>1500</v>
      </c>
      <c r="E39" s="259"/>
      <c r="F39" s="259"/>
      <c r="G39" s="259"/>
    </row>
    <row r="40" spans="1:7" ht="15" customHeight="1" x14ac:dyDescent="0.3">
      <c r="A40" s="258" t="s">
        <v>1997</v>
      </c>
      <c r="B40" s="259"/>
      <c r="C40" s="259"/>
      <c r="D40" s="261">
        <v>19995</v>
      </c>
      <c r="E40" s="259"/>
      <c r="F40" s="259"/>
      <c r="G40" s="259"/>
    </row>
    <row r="41" spans="1:7" ht="15" customHeight="1" x14ac:dyDescent="0.3">
      <c r="A41" s="262" t="s">
        <v>1998</v>
      </c>
      <c r="B41" s="263"/>
      <c r="C41" s="263"/>
      <c r="D41" s="264">
        <v>35525</v>
      </c>
      <c r="E41" s="263"/>
      <c r="F41" s="263"/>
      <c r="G41" s="263"/>
    </row>
    <row r="42" spans="1:7" ht="7.95" customHeight="1" x14ac:dyDescent="0.3"/>
    <row r="43" spans="1:7" ht="16.05" customHeight="1" x14ac:dyDescent="0.3">
      <c r="A43" s="315" t="s">
        <v>1980</v>
      </c>
      <c r="B43" s="282"/>
      <c r="C43" s="282"/>
      <c r="D43" s="282"/>
      <c r="E43" s="282"/>
      <c r="F43" s="282"/>
      <c r="G43" s="282"/>
    </row>
    <row r="44" spans="1:7" ht="15" customHeight="1" x14ac:dyDescent="0.3">
      <c r="A44" s="258" t="s">
        <v>1999</v>
      </c>
      <c r="B44" s="259"/>
      <c r="C44" s="260">
        <v>1</v>
      </c>
      <c r="D44" s="261">
        <v>440.61</v>
      </c>
      <c r="E44" s="259"/>
      <c r="F44" s="259"/>
      <c r="G44" s="259"/>
    </row>
    <row r="45" spans="1:7" ht="15" customHeight="1" x14ac:dyDescent="0.3">
      <c r="A45" s="258" t="s">
        <v>2000</v>
      </c>
      <c r="B45" s="259"/>
      <c r="C45" s="260">
        <v>1</v>
      </c>
      <c r="D45" s="261">
        <v>3458</v>
      </c>
      <c r="E45" s="259"/>
      <c r="F45" s="259"/>
      <c r="G45" s="259"/>
    </row>
    <row r="46" spans="1:7" ht="15" customHeight="1" x14ac:dyDescent="0.3">
      <c r="A46" s="258" t="s">
        <v>2001</v>
      </c>
      <c r="B46" s="259"/>
      <c r="C46" s="260">
        <v>1</v>
      </c>
      <c r="D46" s="261">
        <v>14502</v>
      </c>
      <c r="E46" s="259"/>
      <c r="F46" s="259"/>
      <c r="G46" s="259"/>
    </row>
    <row r="47" spans="1:7" ht="15" customHeight="1" x14ac:dyDescent="0.3">
      <c r="A47" s="258" t="s">
        <v>2002</v>
      </c>
      <c r="B47" s="259"/>
      <c r="C47" s="260">
        <v>1</v>
      </c>
      <c r="D47" s="261">
        <v>170</v>
      </c>
      <c r="E47" s="259"/>
      <c r="F47" s="259"/>
      <c r="G47" s="259"/>
    </row>
    <row r="48" spans="1:7" ht="15" customHeight="1" x14ac:dyDescent="0.3">
      <c r="A48" s="258" t="s">
        <v>2003</v>
      </c>
      <c r="B48" s="259"/>
      <c r="C48" s="260">
        <v>1</v>
      </c>
      <c r="D48" s="261">
        <v>12506</v>
      </c>
      <c r="E48" s="259"/>
      <c r="F48" s="259"/>
      <c r="G48" s="259"/>
    </row>
    <row r="49" spans="1:7" ht="15" customHeight="1" x14ac:dyDescent="0.3">
      <c r="A49" s="258" t="s">
        <v>2004</v>
      </c>
      <c r="B49" s="259"/>
      <c r="C49" s="260">
        <v>1</v>
      </c>
      <c r="D49" s="261">
        <v>4756</v>
      </c>
      <c r="E49" s="259"/>
      <c r="F49" s="259"/>
      <c r="G49" s="259"/>
    </row>
    <row r="50" spans="1:7" ht="15" customHeight="1" x14ac:dyDescent="0.3">
      <c r="A50" s="258" t="s">
        <v>2005</v>
      </c>
      <c r="B50" s="259"/>
      <c r="C50" s="260">
        <v>1</v>
      </c>
      <c r="D50" s="261">
        <v>350</v>
      </c>
      <c r="E50" s="259"/>
      <c r="F50" s="259"/>
      <c r="G50" s="259"/>
    </row>
    <row r="51" spans="1:7" ht="15" customHeight="1" x14ac:dyDescent="0.3">
      <c r="A51" s="258" t="s">
        <v>2006</v>
      </c>
      <c r="B51" s="259"/>
      <c r="C51" s="260">
        <v>1</v>
      </c>
      <c r="D51" s="261">
        <v>50</v>
      </c>
      <c r="E51" s="259"/>
      <c r="F51" s="259"/>
      <c r="G51" s="259"/>
    </row>
    <row r="52" spans="1:7" ht="15" customHeight="1" x14ac:dyDescent="0.3">
      <c r="A52" s="262" t="s">
        <v>1986</v>
      </c>
      <c r="B52" s="263"/>
      <c r="C52" s="263"/>
      <c r="D52" s="264">
        <v>36232.61</v>
      </c>
      <c r="E52" s="263"/>
      <c r="F52" s="263"/>
      <c r="G52" s="263"/>
    </row>
    <row r="53" spans="1:7" ht="7.95" customHeight="1" x14ac:dyDescent="0.3"/>
    <row r="54" spans="1:7" ht="16.05" customHeight="1" x14ac:dyDescent="0.3">
      <c r="A54" s="315" t="s">
        <v>1987</v>
      </c>
      <c r="B54" s="282"/>
      <c r="C54" s="282"/>
      <c r="D54" s="282"/>
      <c r="E54" s="282"/>
      <c r="F54" s="282"/>
      <c r="G54" s="282"/>
    </row>
    <row r="55" spans="1:7" ht="15" customHeight="1" x14ac:dyDescent="0.3">
      <c r="A55" s="258" t="s">
        <v>2007</v>
      </c>
      <c r="B55" s="259"/>
      <c r="C55" s="259"/>
      <c r="D55" s="261">
        <v>42267.9</v>
      </c>
      <c r="E55" s="259"/>
      <c r="F55" s="259"/>
      <c r="G55" s="259"/>
    </row>
    <row r="56" spans="1:7" ht="15" customHeight="1" x14ac:dyDescent="0.3">
      <c r="A56" s="258" t="s">
        <v>2008</v>
      </c>
      <c r="B56" s="259"/>
      <c r="C56" s="259"/>
      <c r="D56" s="261">
        <v>35525</v>
      </c>
      <c r="E56" s="259"/>
      <c r="F56" s="259"/>
      <c r="G56" s="259"/>
    </row>
    <row r="57" spans="1:7" ht="15" customHeight="1" x14ac:dyDescent="0.3">
      <c r="A57" s="258" t="s">
        <v>2009</v>
      </c>
      <c r="B57" s="259"/>
      <c r="C57" s="259"/>
      <c r="D57" s="261">
        <v>36232.61</v>
      </c>
      <c r="E57" s="259"/>
      <c r="F57" s="259"/>
      <c r="G57" s="259"/>
    </row>
    <row r="58" spans="1:7" ht="15" customHeight="1" x14ac:dyDescent="0.3">
      <c r="A58" s="258" t="s">
        <v>1991</v>
      </c>
      <c r="B58" s="259"/>
      <c r="C58" s="259"/>
      <c r="D58" s="261">
        <v>41560.29</v>
      </c>
      <c r="E58" s="259"/>
      <c r="F58" s="259"/>
      <c r="G58" s="259"/>
    </row>
    <row r="59" spans="1:7" ht="15" customHeight="1" x14ac:dyDescent="0.3">
      <c r="A59" s="258" t="s">
        <v>1992</v>
      </c>
      <c r="B59" s="259"/>
      <c r="C59" s="259"/>
      <c r="D59" s="261">
        <v>41560.29</v>
      </c>
      <c r="E59" s="259"/>
      <c r="F59" s="259"/>
      <c r="G59" s="259"/>
    </row>
    <row r="60" spans="1:7" ht="15" customHeight="1" x14ac:dyDescent="0.3">
      <c r="A60" s="267" t="s">
        <v>2010</v>
      </c>
      <c r="B60" s="259"/>
      <c r="C60" s="259"/>
      <c r="D60" s="268" t="s">
        <v>2011</v>
      </c>
      <c r="E60" s="259"/>
      <c r="F60" s="259"/>
      <c r="G60" s="259"/>
    </row>
    <row r="62" spans="1:7" x14ac:dyDescent="0.3">
      <c r="A62" s="275" t="s">
        <v>2012</v>
      </c>
    </row>
    <row r="63" spans="1:7" x14ac:dyDescent="0.3">
      <c r="A63" s="275" t="s">
        <v>1972</v>
      </c>
      <c r="C63" t="s">
        <v>1973</v>
      </c>
      <c r="D63" s="275" t="s">
        <v>376</v>
      </c>
    </row>
    <row r="64" spans="1:7" x14ac:dyDescent="0.3">
      <c r="A64" s="275" t="s">
        <v>1974</v>
      </c>
    </row>
    <row r="65" spans="1:4" x14ac:dyDescent="0.3">
      <c r="A65" t="s">
        <v>2013</v>
      </c>
      <c r="C65">
        <v>14</v>
      </c>
      <c r="D65">
        <v>19805</v>
      </c>
    </row>
    <row r="66" spans="1:4" x14ac:dyDescent="0.3">
      <c r="A66" t="s">
        <v>2014</v>
      </c>
      <c r="C66">
        <v>19</v>
      </c>
      <c r="D66">
        <v>6710</v>
      </c>
    </row>
    <row r="67" spans="1:4" x14ac:dyDescent="0.3">
      <c r="A67" t="s">
        <v>2015</v>
      </c>
      <c r="C67">
        <v>4</v>
      </c>
      <c r="D67">
        <v>1860</v>
      </c>
    </row>
    <row r="68" spans="1:4" x14ac:dyDescent="0.3">
      <c r="A68" t="s">
        <v>2016</v>
      </c>
      <c r="C68">
        <v>1</v>
      </c>
      <c r="D68">
        <v>500</v>
      </c>
    </row>
    <row r="69" spans="1:4" x14ac:dyDescent="0.3">
      <c r="A69" t="s">
        <v>2017</v>
      </c>
      <c r="C69">
        <v>3</v>
      </c>
      <c r="D69">
        <v>900</v>
      </c>
    </row>
    <row r="70" spans="1:4" x14ac:dyDescent="0.3">
      <c r="A70" t="s">
        <v>2018</v>
      </c>
      <c r="C70">
        <v>1</v>
      </c>
      <c r="D70">
        <v>170</v>
      </c>
    </row>
    <row r="71" spans="1:4" x14ac:dyDescent="0.3">
      <c r="A71" s="275" t="s">
        <v>1998</v>
      </c>
      <c r="D71" s="275">
        <v>29945</v>
      </c>
    </row>
    <row r="73" spans="1:4" x14ac:dyDescent="0.3">
      <c r="A73" s="275" t="s">
        <v>1980</v>
      </c>
    </row>
    <row r="74" spans="1:4" x14ac:dyDescent="0.3">
      <c r="A74" t="s">
        <v>2019</v>
      </c>
      <c r="C74">
        <v>1</v>
      </c>
      <c r="D74">
        <v>574</v>
      </c>
    </row>
    <row r="75" spans="1:4" x14ac:dyDescent="0.3">
      <c r="A75" t="s">
        <v>2020</v>
      </c>
      <c r="C75">
        <v>1</v>
      </c>
      <c r="D75">
        <v>462.45</v>
      </c>
    </row>
    <row r="76" spans="1:4" x14ac:dyDescent="0.3">
      <c r="A76" t="s">
        <v>2021</v>
      </c>
      <c r="C76">
        <v>1</v>
      </c>
      <c r="D76">
        <v>350</v>
      </c>
    </row>
    <row r="77" spans="1:4" x14ac:dyDescent="0.3">
      <c r="A77" t="s">
        <v>2022</v>
      </c>
      <c r="C77">
        <v>1</v>
      </c>
      <c r="D77">
        <v>16820.060000000001</v>
      </c>
    </row>
    <row r="78" spans="1:4" x14ac:dyDescent="0.3">
      <c r="A78" t="s">
        <v>2023</v>
      </c>
      <c r="C78">
        <v>1</v>
      </c>
      <c r="D78">
        <v>502</v>
      </c>
    </row>
    <row r="79" spans="1:4" x14ac:dyDescent="0.3">
      <c r="A79" t="s">
        <v>2024</v>
      </c>
      <c r="C79">
        <v>1</v>
      </c>
      <c r="D79">
        <v>170</v>
      </c>
    </row>
    <row r="80" spans="1:4" x14ac:dyDescent="0.3">
      <c r="A80" t="s">
        <v>2025</v>
      </c>
      <c r="C80">
        <v>1</v>
      </c>
      <c r="D80">
        <v>4752</v>
      </c>
    </row>
    <row r="81" spans="1:4" x14ac:dyDescent="0.3">
      <c r="A81" t="s">
        <v>2026</v>
      </c>
      <c r="C81">
        <v>1</v>
      </c>
      <c r="D81">
        <v>12502</v>
      </c>
    </row>
    <row r="82" spans="1:4" x14ac:dyDescent="0.3">
      <c r="A82" t="s">
        <v>2027</v>
      </c>
      <c r="C82">
        <v>1</v>
      </c>
      <c r="D82">
        <v>29.54</v>
      </c>
    </row>
    <row r="83" spans="1:4" x14ac:dyDescent="0.3">
      <c r="A83" t="s">
        <v>2028</v>
      </c>
      <c r="C83">
        <v>1</v>
      </c>
      <c r="D83">
        <v>50</v>
      </c>
    </row>
    <row r="84" spans="1:4" x14ac:dyDescent="0.3">
      <c r="A84" s="275" t="s">
        <v>1986</v>
      </c>
      <c r="D84" s="275">
        <v>36212.050000000003</v>
      </c>
    </row>
    <row r="86" spans="1:4" x14ac:dyDescent="0.3">
      <c r="A86" s="275" t="s">
        <v>1987</v>
      </c>
    </row>
    <row r="87" spans="1:4" x14ac:dyDescent="0.3">
      <c r="A87" t="s">
        <v>2029</v>
      </c>
      <c r="D87">
        <v>41560.29</v>
      </c>
    </row>
    <row r="88" spans="1:4" x14ac:dyDescent="0.3">
      <c r="A88" t="s">
        <v>2030</v>
      </c>
      <c r="D88">
        <v>29945</v>
      </c>
    </row>
    <row r="89" spans="1:4" x14ac:dyDescent="0.3">
      <c r="A89" t="s">
        <v>2031</v>
      </c>
      <c r="D89">
        <v>36212.050000000003</v>
      </c>
    </row>
    <row r="90" spans="1:4" x14ac:dyDescent="0.3">
      <c r="A90" s="275" t="s">
        <v>2032</v>
      </c>
      <c r="D90" s="275">
        <v>35293.24</v>
      </c>
    </row>
    <row r="91" spans="1:4" x14ac:dyDescent="0.3">
      <c r="A91" t="s">
        <v>2033</v>
      </c>
      <c r="D91">
        <v>35293.24</v>
      </c>
    </row>
    <row r="92" spans="1:4" x14ac:dyDescent="0.3">
      <c r="A92" s="275" t="s">
        <v>2034</v>
      </c>
      <c r="D92" s="275" t="s">
        <v>2011</v>
      </c>
    </row>
    <row r="94" spans="1:4" x14ac:dyDescent="0.3">
      <c r="A94" s="275" t="s">
        <v>2035</v>
      </c>
    </row>
    <row r="95" spans="1:4" x14ac:dyDescent="0.3">
      <c r="A95" t="s">
        <v>2036</v>
      </c>
    </row>
    <row r="96" spans="1:4" x14ac:dyDescent="0.3">
      <c r="A96" t="s">
        <v>2037</v>
      </c>
    </row>
    <row r="97" spans="1:1" x14ac:dyDescent="0.3">
      <c r="A97" t="s">
        <v>2038</v>
      </c>
    </row>
    <row r="98" spans="1:1" x14ac:dyDescent="0.3">
      <c r="A98" t="s">
        <v>2039</v>
      </c>
    </row>
  </sheetData>
  <mergeCells count="10">
    <mergeCell ref="A54:G54"/>
    <mergeCell ref="A43:G43"/>
    <mergeCell ref="A33:G33"/>
    <mergeCell ref="A5:G5"/>
    <mergeCell ref="A1:G1"/>
    <mergeCell ref="A3:G3"/>
    <mergeCell ref="A22:G22"/>
    <mergeCell ref="A12:G12"/>
    <mergeCell ref="A35:G35"/>
    <mergeCell ref="A30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5"/>
  <sheetViews>
    <sheetView tabSelected="1" workbookViewId="0">
      <pane ySplit="2" topLeftCell="A171" activePane="bottomLeft" state="frozen"/>
      <selection pane="bottomLeft" activeCell="C206" sqref="C206"/>
    </sheetView>
  </sheetViews>
  <sheetFormatPr defaultRowHeight="14.4" x14ac:dyDescent="0.3"/>
  <cols>
    <col min="1" max="1" width="8" customWidth="1"/>
    <col min="2" max="2" width="12" customWidth="1"/>
    <col min="3" max="3" width="36" customWidth="1"/>
    <col min="4" max="4" width="22" customWidth="1"/>
    <col min="5" max="5" width="13" customWidth="1"/>
    <col min="6" max="6" width="14" customWidth="1"/>
    <col min="7" max="7" width="8" customWidth="1"/>
    <col min="8" max="8" width="13" customWidth="1"/>
    <col min="9" max="9" width="20" customWidth="1"/>
    <col min="10" max="11" width="28" customWidth="1"/>
    <col min="12" max="12" width="10" customWidth="1"/>
    <col min="13" max="13" width="30" customWidth="1"/>
  </cols>
  <sheetData>
    <row r="1" spans="1:13" ht="25.95" customHeight="1" x14ac:dyDescent="0.3">
      <c r="A1" s="312" t="s">
        <v>1807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13" ht="19.95" customHeight="1" x14ac:dyDescent="0.3">
      <c r="A2" s="245" t="s">
        <v>358</v>
      </c>
      <c r="B2" s="245" t="s">
        <v>0</v>
      </c>
      <c r="C2" s="245" t="s">
        <v>1</v>
      </c>
      <c r="D2" s="245" t="s">
        <v>325</v>
      </c>
      <c r="E2" s="245" t="s">
        <v>1808</v>
      </c>
      <c r="F2" s="245" t="s">
        <v>1809</v>
      </c>
      <c r="G2" s="245" t="s">
        <v>1810</v>
      </c>
      <c r="H2" s="245" t="s">
        <v>1811</v>
      </c>
      <c r="I2" s="245" t="s">
        <v>3</v>
      </c>
      <c r="J2" s="245" t="s">
        <v>6</v>
      </c>
      <c r="K2" s="245" t="s">
        <v>1812</v>
      </c>
      <c r="L2" s="245" t="s">
        <v>1813</v>
      </c>
      <c r="M2" s="245" t="s">
        <v>10</v>
      </c>
    </row>
    <row r="3" spans="1:13" ht="18" customHeight="1" x14ac:dyDescent="0.3">
      <c r="A3" s="313" t="s">
        <v>1814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</row>
    <row r="4" spans="1:13" ht="16.05" customHeight="1" x14ac:dyDescent="0.3">
      <c r="A4" s="246" t="s">
        <v>1815</v>
      </c>
      <c r="B4" s="246" t="s">
        <v>11</v>
      </c>
      <c r="C4" s="246" t="s">
        <v>12</v>
      </c>
      <c r="D4" s="246"/>
      <c r="E4" s="247">
        <v>11103</v>
      </c>
      <c r="F4" s="248"/>
      <c r="G4" s="248"/>
      <c r="H4" s="248">
        <v>29313.9</v>
      </c>
      <c r="I4" s="246" t="s">
        <v>13</v>
      </c>
      <c r="J4" s="246" t="s">
        <v>16</v>
      </c>
      <c r="K4" s="246"/>
      <c r="L4" s="246"/>
      <c r="M4" s="246"/>
    </row>
    <row r="5" spans="1:13" ht="16.05" customHeight="1" x14ac:dyDescent="0.3">
      <c r="A5" s="249" t="s">
        <v>1815</v>
      </c>
      <c r="B5" s="249" t="s">
        <v>11</v>
      </c>
      <c r="C5" s="249" t="s">
        <v>17</v>
      </c>
      <c r="D5" s="249"/>
      <c r="E5" s="247">
        <v>300</v>
      </c>
      <c r="F5" s="250"/>
      <c r="G5" s="250"/>
      <c r="H5" s="250">
        <v>29613.9</v>
      </c>
      <c r="I5" s="249" t="s">
        <v>18</v>
      </c>
      <c r="J5" s="249" t="s">
        <v>20</v>
      </c>
      <c r="K5" s="249" t="s">
        <v>1816</v>
      </c>
      <c r="L5" s="249" t="s">
        <v>506</v>
      </c>
      <c r="M5" s="249"/>
    </row>
    <row r="6" spans="1:13" ht="16.05" customHeight="1" x14ac:dyDescent="0.3">
      <c r="A6" s="246" t="s">
        <v>1815</v>
      </c>
      <c r="B6" s="246" t="s">
        <v>11</v>
      </c>
      <c r="C6" s="246" t="s">
        <v>23</v>
      </c>
      <c r="D6" s="246"/>
      <c r="E6" s="247">
        <v>170</v>
      </c>
      <c r="F6" s="248"/>
      <c r="G6" s="248"/>
      <c r="H6" s="248">
        <v>29783.9</v>
      </c>
      <c r="I6" s="246" t="s">
        <v>18</v>
      </c>
      <c r="J6" s="246" t="s">
        <v>24</v>
      </c>
      <c r="K6" s="246" t="s">
        <v>1817</v>
      </c>
      <c r="L6" s="246" t="s">
        <v>1279</v>
      </c>
      <c r="M6" s="246"/>
    </row>
    <row r="7" spans="1:13" ht="16.05" customHeight="1" x14ac:dyDescent="0.3">
      <c r="A7" s="249" t="s">
        <v>1815</v>
      </c>
      <c r="B7" s="249" t="s">
        <v>11</v>
      </c>
      <c r="C7" s="249" t="s">
        <v>27</v>
      </c>
      <c r="D7" s="249"/>
      <c r="E7" s="247">
        <v>200</v>
      </c>
      <c r="F7" s="250"/>
      <c r="G7" s="250"/>
      <c r="H7" s="250">
        <v>29983.9</v>
      </c>
      <c r="I7" s="249" t="s">
        <v>18</v>
      </c>
      <c r="J7" s="249" t="s">
        <v>28</v>
      </c>
      <c r="K7" s="249" t="s">
        <v>1818</v>
      </c>
      <c r="L7" s="249" t="s">
        <v>506</v>
      </c>
      <c r="M7" s="249"/>
    </row>
    <row r="8" spans="1:13" ht="16.05" customHeight="1" x14ac:dyDescent="0.3">
      <c r="A8" s="246" t="s">
        <v>1815</v>
      </c>
      <c r="B8" s="246" t="s">
        <v>11</v>
      </c>
      <c r="C8" s="246" t="s">
        <v>31</v>
      </c>
      <c r="D8" s="246"/>
      <c r="E8" s="247">
        <v>350</v>
      </c>
      <c r="F8" s="248"/>
      <c r="G8" s="248"/>
      <c r="H8" s="248">
        <v>30333.9</v>
      </c>
      <c r="I8" s="246" t="s">
        <v>18</v>
      </c>
      <c r="J8" s="246" t="s">
        <v>33</v>
      </c>
      <c r="K8" s="246" t="s">
        <v>1819</v>
      </c>
      <c r="L8" s="246" t="s">
        <v>506</v>
      </c>
      <c r="M8" s="246"/>
    </row>
    <row r="9" spans="1:13" ht="16.05" customHeight="1" x14ac:dyDescent="0.3">
      <c r="A9" s="249" t="s">
        <v>1815</v>
      </c>
      <c r="B9" s="249" t="s">
        <v>11</v>
      </c>
      <c r="C9" s="249" t="s">
        <v>37</v>
      </c>
      <c r="D9" s="249"/>
      <c r="E9" s="247">
        <v>350</v>
      </c>
      <c r="F9" s="250"/>
      <c r="G9" s="250"/>
      <c r="H9" s="250">
        <v>30683.9</v>
      </c>
      <c r="I9" s="249" t="s">
        <v>18</v>
      </c>
      <c r="J9" s="249" t="s">
        <v>38</v>
      </c>
      <c r="K9" s="249" t="s">
        <v>1820</v>
      </c>
      <c r="L9" s="249" t="s">
        <v>506</v>
      </c>
      <c r="M9" s="249"/>
    </row>
    <row r="10" spans="1:13" ht="16.05" customHeight="1" x14ac:dyDescent="0.3">
      <c r="A10" s="246" t="s">
        <v>1815</v>
      </c>
      <c r="B10" s="246" t="s">
        <v>11</v>
      </c>
      <c r="C10" s="246" t="s">
        <v>1821</v>
      </c>
      <c r="D10" s="246"/>
      <c r="E10" s="248"/>
      <c r="F10" s="251">
        <v>414.98</v>
      </c>
      <c r="G10" s="248"/>
      <c r="H10" s="248">
        <v>30268.92</v>
      </c>
      <c r="I10" s="246" t="s">
        <v>1822</v>
      </c>
      <c r="J10" s="246" t="s">
        <v>1822</v>
      </c>
      <c r="K10" s="246"/>
      <c r="L10" s="246"/>
      <c r="M10" s="246"/>
    </row>
    <row r="11" spans="1:13" ht="16.05" customHeight="1" x14ac:dyDescent="0.3">
      <c r="A11" s="249" t="s">
        <v>1815</v>
      </c>
      <c r="B11" s="249" t="s">
        <v>42</v>
      </c>
      <c r="C11" s="249" t="s">
        <v>43</v>
      </c>
      <c r="D11" s="249"/>
      <c r="E11" s="247">
        <v>800</v>
      </c>
      <c r="F11" s="250"/>
      <c r="G11" s="250"/>
      <c r="H11" s="250">
        <v>31068.92</v>
      </c>
      <c r="I11" s="249" t="s">
        <v>13</v>
      </c>
      <c r="J11" s="249" t="s">
        <v>16</v>
      </c>
      <c r="K11" s="249"/>
      <c r="L11" s="249"/>
      <c r="M11" s="249"/>
    </row>
    <row r="12" spans="1:13" ht="16.05" customHeight="1" x14ac:dyDescent="0.3">
      <c r="A12" s="246" t="s">
        <v>1815</v>
      </c>
      <c r="B12" s="246" t="s">
        <v>42</v>
      </c>
      <c r="C12" s="246" t="s">
        <v>44</v>
      </c>
      <c r="D12" s="246"/>
      <c r="E12" s="247">
        <v>580</v>
      </c>
      <c r="F12" s="248"/>
      <c r="G12" s="248"/>
      <c r="H12" s="248">
        <v>31648.92</v>
      </c>
      <c r="I12" s="246" t="s">
        <v>18</v>
      </c>
      <c r="J12" s="246" t="s">
        <v>46</v>
      </c>
      <c r="K12" s="246" t="s">
        <v>1823</v>
      </c>
      <c r="L12" s="246" t="s">
        <v>506</v>
      </c>
      <c r="M12" s="246"/>
    </row>
    <row r="13" spans="1:13" ht="16.05" customHeight="1" x14ac:dyDescent="0.3">
      <c r="A13" s="249" t="s">
        <v>1815</v>
      </c>
      <c r="B13" s="249" t="s">
        <v>42</v>
      </c>
      <c r="C13" s="249" t="s">
        <v>49</v>
      </c>
      <c r="D13" s="249"/>
      <c r="E13" s="247">
        <v>300</v>
      </c>
      <c r="F13" s="250"/>
      <c r="G13" s="250"/>
      <c r="H13" s="250">
        <v>31948.92</v>
      </c>
      <c r="I13" s="249" t="s">
        <v>18</v>
      </c>
      <c r="J13" s="249" t="s">
        <v>51</v>
      </c>
      <c r="K13" s="249" t="s">
        <v>1824</v>
      </c>
      <c r="L13" s="249" t="s">
        <v>506</v>
      </c>
      <c r="M13" s="249"/>
    </row>
    <row r="14" spans="1:13" ht="16.05" customHeight="1" x14ac:dyDescent="0.3">
      <c r="A14" s="246" t="s">
        <v>1815</v>
      </c>
      <c r="B14" s="246" t="s">
        <v>53</v>
      </c>
      <c r="C14" s="246" t="s">
        <v>1825</v>
      </c>
      <c r="D14" s="246"/>
      <c r="E14" s="248"/>
      <c r="F14" s="251">
        <v>4000</v>
      </c>
      <c r="G14" s="248">
        <v>6</v>
      </c>
      <c r="H14" s="248">
        <v>27942.92</v>
      </c>
      <c r="I14" s="246" t="s">
        <v>1826</v>
      </c>
      <c r="J14" s="246" t="s">
        <v>1825</v>
      </c>
      <c r="K14" s="246"/>
      <c r="L14" s="246"/>
      <c r="M14" s="246"/>
    </row>
    <row r="15" spans="1:13" ht="16.05" customHeight="1" x14ac:dyDescent="0.3">
      <c r="A15" s="249" t="s">
        <v>1815</v>
      </c>
      <c r="B15" s="249" t="s">
        <v>53</v>
      </c>
      <c r="C15" s="249" t="s">
        <v>1827</v>
      </c>
      <c r="D15" s="249"/>
      <c r="E15" s="250"/>
      <c r="F15" s="251">
        <v>471.51</v>
      </c>
      <c r="G15" s="250">
        <v>1</v>
      </c>
      <c r="H15" s="250">
        <v>27470.41</v>
      </c>
      <c r="I15" s="249" t="s">
        <v>1828</v>
      </c>
      <c r="J15" s="249" t="s">
        <v>1827</v>
      </c>
      <c r="K15" s="249"/>
      <c r="L15" s="249"/>
      <c r="M15" s="249"/>
    </row>
    <row r="16" spans="1:13" ht="16.05" customHeight="1" x14ac:dyDescent="0.3">
      <c r="A16" s="246" t="s">
        <v>1815</v>
      </c>
      <c r="B16" s="246" t="s">
        <v>53</v>
      </c>
      <c r="C16" s="246" t="s">
        <v>54</v>
      </c>
      <c r="D16" s="246"/>
      <c r="E16" s="247">
        <v>200</v>
      </c>
      <c r="F16" s="248"/>
      <c r="G16" s="248"/>
      <c r="H16" s="248">
        <v>27670.41</v>
      </c>
      <c r="I16" s="246" t="s">
        <v>18</v>
      </c>
      <c r="J16" s="246" t="s">
        <v>55</v>
      </c>
      <c r="K16" s="246" t="s">
        <v>1829</v>
      </c>
      <c r="L16" s="246" t="s">
        <v>506</v>
      </c>
      <c r="M16" s="246"/>
    </row>
    <row r="17" spans="1:13" ht="16.05" customHeight="1" x14ac:dyDescent="0.3">
      <c r="A17" s="249" t="s">
        <v>1815</v>
      </c>
      <c r="B17" s="249" t="s">
        <v>53</v>
      </c>
      <c r="C17" s="249" t="s">
        <v>1830</v>
      </c>
      <c r="D17" s="249"/>
      <c r="E17" s="250"/>
      <c r="F17" s="251">
        <v>200</v>
      </c>
      <c r="G17" s="250"/>
      <c r="H17" s="250">
        <v>27470.41</v>
      </c>
      <c r="I17" s="249" t="s">
        <v>1831</v>
      </c>
      <c r="J17" s="249" t="s">
        <v>1832</v>
      </c>
      <c r="K17" s="249"/>
      <c r="L17" s="249"/>
      <c r="M17" s="249"/>
    </row>
    <row r="18" spans="1:13" ht="16.05" customHeight="1" x14ac:dyDescent="0.3">
      <c r="A18" s="246" t="s">
        <v>1815</v>
      </c>
      <c r="B18" s="246" t="s">
        <v>58</v>
      </c>
      <c r="C18" s="246" t="s">
        <v>59</v>
      </c>
      <c r="D18" s="246"/>
      <c r="E18" s="247">
        <v>200</v>
      </c>
      <c r="F18" s="248"/>
      <c r="G18" s="248"/>
      <c r="H18" s="248">
        <v>27670.41</v>
      </c>
      <c r="I18" s="246" t="s">
        <v>13</v>
      </c>
      <c r="J18" s="246" t="s">
        <v>16</v>
      </c>
      <c r="K18" s="246"/>
      <c r="L18" s="246"/>
      <c r="M18" s="246"/>
    </row>
    <row r="19" spans="1:13" ht="16.05" customHeight="1" x14ac:dyDescent="0.3">
      <c r="A19" s="249" t="s">
        <v>1815</v>
      </c>
      <c r="B19" s="249" t="s">
        <v>58</v>
      </c>
      <c r="C19" s="249" t="s">
        <v>60</v>
      </c>
      <c r="D19" s="249"/>
      <c r="E19" s="247">
        <v>170</v>
      </c>
      <c r="F19" s="250"/>
      <c r="G19" s="250"/>
      <c r="H19" s="250">
        <v>27840.41</v>
      </c>
      <c r="I19" s="249" t="s">
        <v>18</v>
      </c>
      <c r="J19" s="249" t="s">
        <v>61</v>
      </c>
      <c r="K19" s="249" t="s">
        <v>1833</v>
      </c>
      <c r="L19" s="249" t="s">
        <v>1546</v>
      </c>
      <c r="M19" s="249"/>
    </row>
    <row r="20" spans="1:13" ht="16.05" customHeight="1" x14ac:dyDescent="0.3">
      <c r="A20" s="246" t="s">
        <v>1815</v>
      </c>
      <c r="B20" s="246" t="s">
        <v>58</v>
      </c>
      <c r="C20" s="246" t="s">
        <v>63</v>
      </c>
      <c r="D20" s="246"/>
      <c r="E20" s="247">
        <v>170</v>
      </c>
      <c r="F20" s="248"/>
      <c r="G20" s="248"/>
      <c r="H20" s="248">
        <v>28010.41</v>
      </c>
      <c r="I20" s="246" t="s">
        <v>18</v>
      </c>
      <c r="J20" s="246" t="s">
        <v>64</v>
      </c>
      <c r="K20" s="246" t="s">
        <v>1834</v>
      </c>
      <c r="L20" s="246" t="s">
        <v>1835</v>
      </c>
      <c r="M20" s="246"/>
    </row>
    <row r="21" spans="1:13" ht="16.05" customHeight="1" x14ac:dyDescent="0.3">
      <c r="A21" s="249" t="s">
        <v>1815</v>
      </c>
      <c r="B21" s="249" t="s">
        <v>58</v>
      </c>
      <c r="C21" s="249" t="s">
        <v>66</v>
      </c>
      <c r="D21" s="249"/>
      <c r="E21" s="247">
        <v>200</v>
      </c>
      <c r="F21" s="250"/>
      <c r="G21" s="250"/>
      <c r="H21" s="250">
        <v>28210.41</v>
      </c>
      <c r="I21" s="249" t="s">
        <v>18</v>
      </c>
      <c r="J21" s="249" t="s">
        <v>67</v>
      </c>
      <c r="K21" s="249" t="s">
        <v>1836</v>
      </c>
      <c r="L21" s="249" t="s">
        <v>1105</v>
      </c>
      <c r="M21" s="249"/>
    </row>
    <row r="22" spans="1:13" ht="16.05" customHeight="1" x14ac:dyDescent="0.3">
      <c r="A22" s="246" t="s">
        <v>1815</v>
      </c>
      <c r="B22" s="246" t="s">
        <v>70</v>
      </c>
      <c r="C22" s="246" t="s">
        <v>71</v>
      </c>
      <c r="D22" s="246"/>
      <c r="E22" s="247">
        <v>200</v>
      </c>
      <c r="F22" s="248"/>
      <c r="G22" s="248"/>
      <c r="H22" s="248">
        <v>28410.41</v>
      </c>
      <c r="I22" s="246" t="s">
        <v>13</v>
      </c>
      <c r="J22" s="246" t="s">
        <v>16</v>
      </c>
      <c r="K22" s="246"/>
      <c r="L22" s="246"/>
      <c r="M22" s="246"/>
    </row>
    <row r="23" spans="1:13" ht="16.05" customHeight="1" x14ac:dyDescent="0.3">
      <c r="A23" s="249" t="s">
        <v>1815</v>
      </c>
      <c r="B23" s="249" t="s">
        <v>72</v>
      </c>
      <c r="C23" s="249" t="s">
        <v>73</v>
      </c>
      <c r="D23" s="249"/>
      <c r="E23" s="247">
        <v>363</v>
      </c>
      <c r="F23" s="250"/>
      <c r="G23" s="250"/>
      <c r="H23" s="250">
        <v>28773.41</v>
      </c>
      <c r="I23" s="249" t="s">
        <v>13</v>
      </c>
      <c r="J23" s="249" t="s">
        <v>16</v>
      </c>
      <c r="K23" s="249"/>
      <c r="L23" s="249"/>
      <c r="M23" s="249"/>
    </row>
    <row r="24" spans="1:13" ht="16.05" customHeight="1" x14ac:dyDescent="0.3">
      <c r="A24" s="246" t="s">
        <v>1815</v>
      </c>
      <c r="B24" s="246" t="s">
        <v>74</v>
      </c>
      <c r="C24" s="246" t="s">
        <v>75</v>
      </c>
      <c r="D24" s="246"/>
      <c r="E24" s="247">
        <v>500</v>
      </c>
      <c r="F24" s="248"/>
      <c r="G24" s="248"/>
      <c r="H24" s="248">
        <v>29273.41</v>
      </c>
      <c r="I24" s="246" t="s">
        <v>13</v>
      </c>
      <c r="J24" s="246" t="s">
        <v>16</v>
      </c>
      <c r="K24" s="246"/>
      <c r="L24" s="246"/>
      <c r="M24" s="246"/>
    </row>
    <row r="25" spans="1:13" ht="16.05" customHeight="1" x14ac:dyDescent="0.3">
      <c r="A25" s="249" t="s">
        <v>1815</v>
      </c>
      <c r="B25" s="249" t="s">
        <v>76</v>
      </c>
      <c r="C25" s="249" t="s">
        <v>77</v>
      </c>
      <c r="D25" s="249"/>
      <c r="E25" s="247">
        <v>803</v>
      </c>
      <c r="F25" s="250"/>
      <c r="G25" s="250"/>
      <c r="H25" s="250">
        <v>30076.41</v>
      </c>
      <c r="I25" s="249" t="s">
        <v>13</v>
      </c>
      <c r="J25" s="249" t="s">
        <v>16</v>
      </c>
      <c r="K25" s="249"/>
      <c r="L25" s="249"/>
      <c r="M25" s="249"/>
    </row>
    <row r="26" spans="1:13" ht="16.05" customHeight="1" x14ac:dyDescent="0.3">
      <c r="A26" s="246" t="s">
        <v>1815</v>
      </c>
      <c r="B26" s="246" t="s">
        <v>78</v>
      </c>
      <c r="C26" s="246" t="s">
        <v>79</v>
      </c>
      <c r="D26" s="246"/>
      <c r="E26" s="247">
        <v>363</v>
      </c>
      <c r="F26" s="248"/>
      <c r="G26" s="248"/>
      <c r="H26" s="248">
        <v>30439.41</v>
      </c>
      <c r="I26" s="246" t="s">
        <v>13</v>
      </c>
      <c r="J26" s="246" t="s">
        <v>16</v>
      </c>
      <c r="K26" s="246"/>
      <c r="L26" s="246"/>
      <c r="M26" s="246"/>
    </row>
    <row r="27" spans="1:13" ht="16.05" customHeight="1" x14ac:dyDescent="0.3">
      <c r="A27" s="249" t="s">
        <v>1815</v>
      </c>
      <c r="B27" s="249" t="s">
        <v>80</v>
      </c>
      <c r="C27" s="249" t="s">
        <v>81</v>
      </c>
      <c r="D27" s="249"/>
      <c r="E27" s="247">
        <v>300</v>
      </c>
      <c r="F27" s="250"/>
      <c r="G27" s="250"/>
      <c r="H27" s="250">
        <v>30739.41</v>
      </c>
      <c r="I27" s="249" t="s">
        <v>13</v>
      </c>
      <c r="J27" s="249" t="s">
        <v>16</v>
      </c>
      <c r="K27" s="249"/>
      <c r="L27" s="249"/>
      <c r="M27" s="249"/>
    </row>
    <row r="28" spans="1:13" ht="16.05" customHeight="1" x14ac:dyDescent="0.3">
      <c r="A28" s="246" t="s">
        <v>1815</v>
      </c>
      <c r="B28" s="246" t="s">
        <v>82</v>
      </c>
      <c r="C28" s="246" t="s">
        <v>83</v>
      </c>
      <c r="D28" s="246"/>
      <c r="E28" s="247">
        <v>350</v>
      </c>
      <c r="F28" s="248"/>
      <c r="G28" s="248"/>
      <c r="H28" s="248">
        <v>31089.41</v>
      </c>
      <c r="I28" s="246" t="s">
        <v>18</v>
      </c>
      <c r="J28" s="246" t="s">
        <v>85</v>
      </c>
      <c r="K28" s="246" t="s">
        <v>1837</v>
      </c>
      <c r="L28" s="246" t="s">
        <v>1838</v>
      </c>
      <c r="M28" s="246"/>
    </row>
    <row r="29" spans="1:13" ht="16.05" customHeight="1" x14ac:dyDescent="0.3">
      <c r="A29" s="249" t="s">
        <v>1815</v>
      </c>
      <c r="B29" s="249" t="s">
        <v>88</v>
      </c>
      <c r="C29" s="249" t="s">
        <v>89</v>
      </c>
      <c r="D29" s="249"/>
      <c r="E29" s="247">
        <v>780</v>
      </c>
      <c r="F29" s="250"/>
      <c r="G29" s="250"/>
      <c r="H29" s="250">
        <v>31869.41</v>
      </c>
      <c r="I29" s="249" t="s">
        <v>13</v>
      </c>
      <c r="J29" s="249" t="s">
        <v>16</v>
      </c>
      <c r="K29" s="249"/>
      <c r="L29" s="249"/>
      <c r="M29" s="249"/>
    </row>
    <row r="30" spans="1:13" ht="16.05" customHeight="1" x14ac:dyDescent="0.3">
      <c r="A30" s="246" t="s">
        <v>1815</v>
      </c>
      <c r="B30" s="246" t="s">
        <v>88</v>
      </c>
      <c r="C30" s="246" t="s">
        <v>90</v>
      </c>
      <c r="D30" s="246"/>
      <c r="E30" s="247">
        <v>3500</v>
      </c>
      <c r="F30" s="248"/>
      <c r="G30" s="248"/>
      <c r="H30" s="248">
        <v>35369.410000000003</v>
      </c>
      <c r="I30" s="246" t="s">
        <v>18</v>
      </c>
      <c r="J30" s="246" t="s">
        <v>28</v>
      </c>
      <c r="K30" s="246" t="s">
        <v>1818</v>
      </c>
      <c r="L30" s="246" t="s">
        <v>506</v>
      </c>
      <c r="M30" s="246"/>
    </row>
    <row r="31" spans="1:13" ht="16.05" customHeight="1" x14ac:dyDescent="0.3">
      <c r="A31" s="249" t="s">
        <v>1815</v>
      </c>
      <c r="B31" s="249" t="s">
        <v>88</v>
      </c>
      <c r="C31" s="249" t="s">
        <v>91</v>
      </c>
      <c r="D31" s="249"/>
      <c r="E31" s="247">
        <v>600</v>
      </c>
      <c r="F31" s="250"/>
      <c r="G31" s="250"/>
      <c r="H31" s="250">
        <v>35969.410000000003</v>
      </c>
      <c r="I31" s="249" t="s">
        <v>92</v>
      </c>
      <c r="J31" s="249" t="s">
        <v>93</v>
      </c>
      <c r="K31" s="249" t="s">
        <v>1839</v>
      </c>
      <c r="L31" s="249" t="s">
        <v>1840</v>
      </c>
      <c r="M31" s="249"/>
    </row>
    <row r="32" spans="1:13" ht="16.05" customHeight="1" x14ac:dyDescent="0.3">
      <c r="A32" s="246" t="s">
        <v>1815</v>
      </c>
      <c r="B32" s="246" t="s">
        <v>96</v>
      </c>
      <c r="C32" s="246" t="s">
        <v>97</v>
      </c>
      <c r="D32" s="246"/>
      <c r="E32" s="247">
        <v>500</v>
      </c>
      <c r="F32" s="248"/>
      <c r="G32" s="248"/>
      <c r="H32" s="248">
        <v>36469.410000000003</v>
      </c>
      <c r="I32" s="246" t="s">
        <v>18</v>
      </c>
      <c r="J32" s="246" t="s">
        <v>98</v>
      </c>
      <c r="K32" s="246" t="s">
        <v>1841</v>
      </c>
      <c r="L32" s="246" t="s">
        <v>1842</v>
      </c>
      <c r="M32" s="246"/>
    </row>
    <row r="33" spans="1:13" ht="16.05" customHeight="1" x14ac:dyDescent="0.3">
      <c r="A33" s="249" t="s">
        <v>1815</v>
      </c>
      <c r="B33" s="249" t="s">
        <v>96</v>
      </c>
      <c r="C33" s="249" t="s">
        <v>100</v>
      </c>
      <c r="D33" s="249"/>
      <c r="E33" s="247">
        <v>500</v>
      </c>
      <c r="F33" s="250"/>
      <c r="G33" s="250"/>
      <c r="H33" s="250">
        <v>36969.410000000003</v>
      </c>
      <c r="I33" s="249" t="s">
        <v>101</v>
      </c>
      <c r="J33" s="249" t="s">
        <v>100</v>
      </c>
      <c r="K33" s="249"/>
      <c r="L33" s="249"/>
      <c r="M33" s="249"/>
    </row>
    <row r="34" spans="1:13" ht="16.05" customHeight="1" x14ac:dyDescent="0.3">
      <c r="A34" s="246" t="s">
        <v>1815</v>
      </c>
      <c r="B34" s="246" t="s">
        <v>96</v>
      </c>
      <c r="C34" s="246" t="s">
        <v>103</v>
      </c>
      <c r="D34" s="246"/>
      <c r="E34" s="247">
        <v>500</v>
      </c>
      <c r="F34" s="248"/>
      <c r="G34" s="248"/>
      <c r="H34" s="248">
        <v>37469.410000000003</v>
      </c>
      <c r="I34" s="246" t="s">
        <v>18</v>
      </c>
      <c r="J34" s="246" t="s">
        <v>104</v>
      </c>
      <c r="K34" s="246" t="s">
        <v>1843</v>
      </c>
      <c r="L34" s="246" t="s">
        <v>1844</v>
      </c>
      <c r="M34" s="246"/>
    </row>
    <row r="35" spans="1:13" ht="16.05" customHeight="1" x14ac:dyDescent="0.3">
      <c r="A35" s="249" t="s">
        <v>1815</v>
      </c>
      <c r="B35" s="249" t="s">
        <v>96</v>
      </c>
      <c r="C35" s="249" t="s">
        <v>107</v>
      </c>
      <c r="D35" s="249"/>
      <c r="E35" s="247">
        <v>500</v>
      </c>
      <c r="F35" s="250"/>
      <c r="G35" s="250"/>
      <c r="H35" s="250">
        <v>37969.410000000003</v>
      </c>
      <c r="I35" s="249" t="s">
        <v>92</v>
      </c>
      <c r="J35" s="249" t="s">
        <v>108</v>
      </c>
      <c r="K35" s="249" t="s">
        <v>1845</v>
      </c>
      <c r="L35" s="249" t="s">
        <v>1846</v>
      </c>
      <c r="M35" s="249"/>
    </row>
    <row r="36" spans="1:13" ht="16.05" customHeight="1" x14ac:dyDescent="0.3">
      <c r="A36" s="246" t="s">
        <v>1815</v>
      </c>
      <c r="B36" s="246" t="s">
        <v>96</v>
      </c>
      <c r="C36" s="246" t="s">
        <v>110</v>
      </c>
      <c r="D36" s="246"/>
      <c r="E36" s="247">
        <v>6000</v>
      </c>
      <c r="F36" s="248"/>
      <c r="G36" s="248"/>
      <c r="H36" s="248">
        <v>43969.41</v>
      </c>
      <c r="I36" s="246" t="s">
        <v>18</v>
      </c>
      <c r="J36" s="246" t="s">
        <v>111</v>
      </c>
      <c r="K36" s="246" t="s">
        <v>1847</v>
      </c>
      <c r="L36" s="246" t="s">
        <v>493</v>
      </c>
      <c r="M36" s="246"/>
    </row>
    <row r="37" spans="1:13" ht="16.05" customHeight="1" x14ac:dyDescent="0.3">
      <c r="A37" s="249" t="s">
        <v>1815</v>
      </c>
      <c r="B37" s="249" t="s">
        <v>96</v>
      </c>
      <c r="C37" s="249" t="s">
        <v>113</v>
      </c>
      <c r="D37" s="249"/>
      <c r="E37" s="247">
        <v>3500</v>
      </c>
      <c r="F37" s="250"/>
      <c r="G37" s="250"/>
      <c r="H37" s="250">
        <v>47469.41</v>
      </c>
      <c r="I37" s="249" t="s">
        <v>92</v>
      </c>
      <c r="J37" s="249" t="s">
        <v>111</v>
      </c>
      <c r="K37" s="249" t="s">
        <v>1847</v>
      </c>
      <c r="L37" s="249" t="s">
        <v>493</v>
      </c>
      <c r="M37" s="249"/>
    </row>
    <row r="38" spans="1:13" ht="16.05" customHeight="1" x14ac:dyDescent="0.3">
      <c r="A38" s="246" t="s">
        <v>1815</v>
      </c>
      <c r="B38" s="246" t="s">
        <v>96</v>
      </c>
      <c r="C38" s="246" t="s">
        <v>114</v>
      </c>
      <c r="D38" s="246"/>
      <c r="E38" s="247">
        <v>1000</v>
      </c>
      <c r="F38" s="248"/>
      <c r="G38" s="248"/>
      <c r="H38" s="248">
        <v>48469.41</v>
      </c>
      <c r="I38" s="246" t="s">
        <v>101</v>
      </c>
      <c r="J38" s="246" t="s">
        <v>114</v>
      </c>
      <c r="K38" s="246"/>
      <c r="L38" s="246"/>
      <c r="M38" s="246"/>
    </row>
    <row r="39" spans="1:13" ht="16.05" customHeight="1" x14ac:dyDescent="0.3">
      <c r="A39" s="249" t="s">
        <v>1815</v>
      </c>
      <c r="B39" s="249" t="s">
        <v>115</v>
      </c>
      <c r="C39" s="249" t="s">
        <v>116</v>
      </c>
      <c r="D39" s="249"/>
      <c r="E39" s="247">
        <v>300</v>
      </c>
      <c r="F39" s="250"/>
      <c r="G39" s="250"/>
      <c r="H39" s="250">
        <v>48769.41</v>
      </c>
      <c r="I39" s="249" t="s">
        <v>18</v>
      </c>
      <c r="J39" s="249" t="s">
        <v>117</v>
      </c>
      <c r="K39" s="249" t="s">
        <v>1848</v>
      </c>
      <c r="L39" s="249" t="s">
        <v>994</v>
      </c>
      <c r="M39" s="249"/>
    </row>
    <row r="40" spans="1:13" ht="16.05" customHeight="1" x14ac:dyDescent="0.3">
      <c r="A40" s="246" t="s">
        <v>1815</v>
      </c>
      <c r="B40" s="246" t="s">
        <v>115</v>
      </c>
      <c r="C40" s="246" t="s">
        <v>119</v>
      </c>
      <c r="D40" s="246"/>
      <c r="E40" s="247">
        <v>700</v>
      </c>
      <c r="F40" s="248"/>
      <c r="G40" s="248"/>
      <c r="H40" s="248">
        <v>49469.41</v>
      </c>
      <c r="I40" s="246" t="s">
        <v>13</v>
      </c>
      <c r="J40" s="246" t="s">
        <v>16</v>
      </c>
      <c r="K40" s="246"/>
      <c r="L40" s="246"/>
      <c r="M40" s="246"/>
    </row>
    <row r="41" spans="1:13" ht="16.05" customHeight="1" x14ac:dyDescent="0.3">
      <c r="A41" s="249" t="s">
        <v>1815</v>
      </c>
      <c r="B41" s="249" t="s">
        <v>115</v>
      </c>
      <c r="C41" s="249" t="s">
        <v>120</v>
      </c>
      <c r="D41" s="249"/>
      <c r="E41" s="247">
        <v>500</v>
      </c>
      <c r="F41" s="250"/>
      <c r="G41" s="250"/>
      <c r="H41" s="250">
        <v>49969.41</v>
      </c>
      <c r="I41" s="249" t="s">
        <v>18</v>
      </c>
      <c r="J41" s="249" t="s">
        <v>121</v>
      </c>
      <c r="K41" s="249" t="s">
        <v>1849</v>
      </c>
      <c r="L41" s="249"/>
      <c r="M41" s="249"/>
    </row>
    <row r="42" spans="1:13" ht="16.05" customHeight="1" x14ac:dyDescent="0.3">
      <c r="A42" s="246" t="s">
        <v>1815</v>
      </c>
      <c r="B42" s="246" t="s">
        <v>115</v>
      </c>
      <c r="C42" s="246" t="s">
        <v>123</v>
      </c>
      <c r="D42" s="246"/>
      <c r="E42" s="247">
        <v>1500</v>
      </c>
      <c r="F42" s="248"/>
      <c r="G42" s="248"/>
      <c r="H42" s="248">
        <v>51469.41</v>
      </c>
      <c r="I42" s="246" t="s">
        <v>18</v>
      </c>
      <c r="J42" s="246" t="s">
        <v>124</v>
      </c>
      <c r="K42" s="246" t="s">
        <v>1850</v>
      </c>
      <c r="L42" s="246" t="s">
        <v>506</v>
      </c>
      <c r="M42" s="246"/>
    </row>
    <row r="43" spans="1:13" ht="16.05" customHeight="1" x14ac:dyDescent="0.3">
      <c r="A43" s="249" t="s">
        <v>1815</v>
      </c>
      <c r="B43" s="249" t="s">
        <v>115</v>
      </c>
      <c r="C43" s="249" t="s">
        <v>126</v>
      </c>
      <c r="D43" s="249"/>
      <c r="E43" s="247">
        <v>500</v>
      </c>
      <c r="F43" s="250"/>
      <c r="G43" s="250"/>
      <c r="H43" s="250">
        <v>51969.41</v>
      </c>
      <c r="I43" s="249" t="s">
        <v>92</v>
      </c>
      <c r="J43" s="249" t="s">
        <v>127</v>
      </c>
      <c r="K43" s="249" t="s">
        <v>1851</v>
      </c>
      <c r="L43" s="249" t="s">
        <v>1852</v>
      </c>
      <c r="M43" s="249"/>
    </row>
    <row r="44" spans="1:13" ht="16.05" customHeight="1" x14ac:dyDescent="0.3">
      <c r="A44" s="246" t="s">
        <v>1815</v>
      </c>
      <c r="B44" s="246" t="s">
        <v>115</v>
      </c>
      <c r="C44" s="246" t="s">
        <v>130</v>
      </c>
      <c r="D44" s="246"/>
      <c r="E44" s="247">
        <v>1000</v>
      </c>
      <c r="F44" s="248"/>
      <c r="G44" s="248"/>
      <c r="H44" s="248">
        <v>52969.41</v>
      </c>
      <c r="I44" s="246" t="s">
        <v>18</v>
      </c>
      <c r="J44" s="246" t="s">
        <v>131</v>
      </c>
      <c r="K44" s="246" t="s">
        <v>1853</v>
      </c>
      <c r="L44" s="246" t="s">
        <v>1854</v>
      </c>
      <c r="M44" s="246"/>
    </row>
    <row r="45" spans="1:13" ht="16.05" customHeight="1" x14ac:dyDescent="0.3">
      <c r="A45" s="249" t="s">
        <v>1815</v>
      </c>
      <c r="B45" s="249" t="s">
        <v>115</v>
      </c>
      <c r="C45" s="249" t="s">
        <v>134</v>
      </c>
      <c r="D45" s="249"/>
      <c r="E45" s="247">
        <v>2500</v>
      </c>
      <c r="F45" s="250"/>
      <c r="G45" s="250"/>
      <c r="H45" s="250">
        <v>55469.41</v>
      </c>
      <c r="I45" s="249" t="s">
        <v>92</v>
      </c>
      <c r="J45" s="249" t="s">
        <v>135</v>
      </c>
      <c r="K45" s="249" t="s">
        <v>1855</v>
      </c>
      <c r="L45" s="249" t="s">
        <v>1298</v>
      </c>
      <c r="M45" s="249"/>
    </row>
    <row r="46" spans="1:13" ht="16.05" customHeight="1" x14ac:dyDescent="0.3">
      <c r="A46" s="246" t="s">
        <v>1815</v>
      </c>
      <c r="B46" s="246" t="s">
        <v>115</v>
      </c>
      <c r="C46" s="246" t="s">
        <v>137</v>
      </c>
      <c r="D46" s="246"/>
      <c r="E46" s="247">
        <v>500</v>
      </c>
      <c r="F46" s="248"/>
      <c r="G46" s="248"/>
      <c r="H46" s="248">
        <v>55969.41</v>
      </c>
      <c r="I46" s="246" t="s">
        <v>18</v>
      </c>
      <c r="J46" s="246" t="s">
        <v>138</v>
      </c>
      <c r="K46" s="246" t="s">
        <v>1856</v>
      </c>
      <c r="L46" s="246"/>
      <c r="M46" s="246"/>
    </row>
    <row r="47" spans="1:13" ht="16.05" customHeight="1" x14ac:dyDescent="0.3">
      <c r="A47" s="249" t="s">
        <v>1815</v>
      </c>
      <c r="B47" s="249" t="s">
        <v>115</v>
      </c>
      <c r="C47" s="249" t="s">
        <v>140</v>
      </c>
      <c r="D47" s="249"/>
      <c r="E47" s="247">
        <v>500</v>
      </c>
      <c r="F47" s="250"/>
      <c r="G47" s="250"/>
      <c r="H47" s="250">
        <v>56469.41</v>
      </c>
      <c r="I47" s="249" t="s">
        <v>18</v>
      </c>
      <c r="J47" s="249" t="s">
        <v>141</v>
      </c>
      <c r="K47" s="249" t="s">
        <v>1857</v>
      </c>
      <c r="L47" s="249" t="s">
        <v>1315</v>
      </c>
      <c r="M47" s="249"/>
    </row>
    <row r="48" spans="1:13" ht="16.05" customHeight="1" x14ac:dyDescent="0.3">
      <c r="A48" s="246" t="s">
        <v>1815</v>
      </c>
      <c r="B48" s="246" t="s">
        <v>115</v>
      </c>
      <c r="C48" s="246" t="s">
        <v>143</v>
      </c>
      <c r="D48" s="246"/>
      <c r="E48" s="247">
        <v>200</v>
      </c>
      <c r="F48" s="248"/>
      <c r="G48" s="248"/>
      <c r="H48" s="248">
        <v>56669.41</v>
      </c>
      <c r="I48" s="246" t="s">
        <v>18</v>
      </c>
      <c r="J48" s="246" t="s">
        <v>144</v>
      </c>
      <c r="K48" s="246" t="s">
        <v>1858</v>
      </c>
      <c r="L48" s="246" t="s">
        <v>143</v>
      </c>
      <c r="M48" s="246"/>
    </row>
    <row r="49" spans="1:13" ht="16.05" customHeight="1" x14ac:dyDescent="0.3">
      <c r="A49" s="249" t="s">
        <v>1815</v>
      </c>
      <c r="B49" s="249" t="s">
        <v>115</v>
      </c>
      <c r="C49" s="249" t="s">
        <v>148</v>
      </c>
      <c r="D49" s="249"/>
      <c r="E49" s="247">
        <v>500</v>
      </c>
      <c r="F49" s="250"/>
      <c r="G49" s="250"/>
      <c r="H49" s="250">
        <v>57169.41</v>
      </c>
      <c r="I49" s="249" t="s">
        <v>18</v>
      </c>
      <c r="J49" s="249" t="s">
        <v>149</v>
      </c>
      <c r="K49" s="249" t="s">
        <v>1859</v>
      </c>
      <c r="L49" s="249"/>
      <c r="M49" s="249"/>
    </row>
    <row r="50" spans="1:13" ht="16.05" customHeight="1" x14ac:dyDescent="0.3">
      <c r="A50" s="246" t="s">
        <v>1815</v>
      </c>
      <c r="B50" s="246" t="s">
        <v>115</v>
      </c>
      <c r="C50" s="246" t="s">
        <v>151</v>
      </c>
      <c r="D50" s="246"/>
      <c r="E50" s="247">
        <v>500</v>
      </c>
      <c r="F50" s="248"/>
      <c r="G50" s="248"/>
      <c r="H50" s="248">
        <v>57669.41</v>
      </c>
      <c r="I50" s="246" t="s">
        <v>18</v>
      </c>
      <c r="J50" s="246" t="s">
        <v>152</v>
      </c>
      <c r="K50" s="246" t="s">
        <v>1860</v>
      </c>
      <c r="L50" s="246"/>
      <c r="M50" s="246"/>
    </row>
    <row r="51" spans="1:13" ht="16.05" customHeight="1" x14ac:dyDescent="0.3">
      <c r="A51" s="249" t="s">
        <v>1815</v>
      </c>
      <c r="B51" s="249" t="s">
        <v>115</v>
      </c>
      <c r="C51" s="249" t="s">
        <v>154</v>
      </c>
      <c r="D51" s="249"/>
      <c r="E51" s="247">
        <v>500</v>
      </c>
      <c r="F51" s="250"/>
      <c r="G51" s="250"/>
      <c r="H51" s="250">
        <v>58169.41</v>
      </c>
      <c r="I51" s="249" t="s">
        <v>18</v>
      </c>
      <c r="J51" s="249" t="s">
        <v>155</v>
      </c>
      <c r="K51" s="249" t="s">
        <v>1861</v>
      </c>
      <c r="L51" s="249" t="s">
        <v>1862</v>
      </c>
      <c r="M51" s="249"/>
    </row>
    <row r="52" spans="1:13" ht="16.05" customHeight="1" x14ac:dyDescent="0.3">
      <c r="A52" s="246" t="s">
        <v>1815</v>
      </c>
      <c r="B52" s="246" t="s">
        <v>115</v>
      </c>
      <c r="C52" s="246" t="s">
        <v>157</v>
      </c>
      <c r="D52" s="246"/>
      <c r="E52" s="247">
        <v>500</v>
      </c>
      <c r="F52" s="248"/>
      <c r="G52" s="248"/>
      <c r="H52" s="248">
        <v>58669.41</v>
      </c>
      <c r="I52" s="246" t="s">
        <v>18</v>
      </c>
      <c r="J52" s="246" t="s">
        <v>85</v>
      </c>
      <c r="K52" s="246" t="s">
        <v>1837</v>
      </c>
      <c r="L52" s="246" t="s">
        <v>1838</v>
      </c>
      <c r="M52" s="246"/>
    </row>
    <row r="53" spans="1:13" ht="16.05" customHeight="1" x14ac:dyDescent="0.3">
      <c r="A53" s="249" t="s">
        <v>1815</v>
      </c>
      <c r="B53" s="249" t="s">
        <v>115</v>
      </c>
      <c r="C53" s="249" t="s">
        <v>158</v>
      </c>
      <c r="D53" s="249"/>
      <c r="E53" s="247">
        <v>350</v>
      </c>
      <c r="F53" s="250"/>
      <c r="G53" s="250"/>
      <c r="H53" s="250">
        <v>59019.41</v>
      </c>
      <c r="I53" s="249" t="s">
        <v>18</v>
      </c>
      <c r="J53" s="249" t="s">
        <v>159</v>
      </c>
      <c r="K53" s="249" t="s">
        <v>1863</v>
      </c>
      <c r="L53" s="249" t="s">
        <v>506</v>
      </c>
      <c r="M53" s="249"/>
    </row>
    <row r="54" spans="1:13" ht="16.05" customHeight="1" x14ac:dyDescent="0.3">
      <c r="A54" s="246" t="s">
        <v>1815</v>
      </c>
      <c r="B54" s="246" t="s">
        <v>115</v>
      </c>
      <c r="C54" s="246" t="s">
        <v>161</v>
      </c>
      <c r="D54" s="246"/>
      <c r="E54" s="247">
        <v>400</v>
      </c>
      <c r="F54" s="248"/>
      <c r="G54" s="248"/>
      <c r="H54" s="248">
        <v>59419.41</v>
      </c>
      <c r="I54" s="246" t="s">
        <v>18</v>
      </c>
      <c r="J54" s="246" t="s">
        <v>162</v>
      </c>
      <c r="K54" s="246" t="s">
        <v>1864</v>
      </c>
      <c r="L54" s="246"/>
      <c r="M54" s="246"/>
    </row>
    <row r="55" spans="1:13" ht="16.05" customHeight="1" x14ac:dyDescent="0.3">
      <c r="A55" s="249" t="s">
        <v>1815</v>
      </c>
      <c r="B55" s="249" t="s">
        <v>164</v>
      </c>
      <c r="C55" s="249" t="s">
        <v>165</v>
      </c>
      <c r="D55" s="249"/>
      <c r="E55" s="247">
        <v>1550</v>
      </c>
      <c r="F55" s="250"/>
      <c r="G55" s="250"/>
      <c r="H55" s="250">
        <v>60969.41</v>
      </c>
      <c r="I55" s="249" t="s">
        <v>13</v>
      </c>
      <c r="J55" s="249" t="s">
        <v>16</v>
      </c>
      <c r="K55" s="249"/>
      <c r="L55" s="249"/>
      <c r="M55" s="249"/>
    </row>
    <row r="56" spans="1:13" ht="16.05" customHeight="1" x14ac:dyDescent="0.3">
      <c r="A56" s="246" t="s">
        <v>1815</v>
      </c>
      <c r="B56" s="246" t="s">
        <v>164</v>
      </c>
      <c r="C56" s="246" t="s">
        <v>166</v>
      </c>
      <c r="D56" s="246"/>
      <c r="E56" s="247">
        <v>350</v>
      </c>
      <c r="F56" s="248"/>
      <c r="G56" s="248"/>
      <c r="H56" s="248">
        <v>61319.41</v>
      </c>
      <c r="I56" s="246" t="s">
        <v>18</v>
      </c>
      <c r="J56" s="246" t="s">
        <v>167</v>
      </c>
      <c r="K56" s="246" t="s">
        <v>1865</v>
      </c>
      <c r="L56" s="246" t="s">
        <v>506</v>
      </c>
      <c r="M56" s="246"/>
    </row>
    <row r="57" spans="1:13" ht="16.05" customHeight="1" x14ac:dyDescent="0.3">
      <c r="A57" s="249" t="s">
        <v>1815</v>
      </c>
      <c r="B57" s="249" t="s">
        <v>169</v>
      </c>
      <c r="C57" s="249" t="s">
        <v>170</v>
      </c>
      <c r="D57" s="249"/>
      <c r="E57" s="247">
        <v>700</v>
      </c>
      <c r="F57" s="250"/>
      <c r="G57" s="250"/>
      <c r="H57" s="250">
        <v>62019.41</v>
      </c>
      <c r="I57" s="249" t="s">
        <v>13</v>
      </c>
      <c r="J57" s="249" t="s">
        <v>16</v>
      </c>
      <c r="K57" s="249"/>
      <c r="L57" s="249"/>
      <c r="M57" s="249"/>
    </row>
    <row r="58" spans="1:13" ht="16.05" customHeight="1" x14ac:dyDescent="0.3">
      <c r="A58" s="246" t="s">
        <v>1815</v>
      </c>
      <c r="B58" s="246" t="s">
        <v>169</v>
      </c>
      <c r="C58" s="246" t="s">
        <v>1866</v>
      </c>
      <c r="D58" s="246"/>
      <c r="E58" s="248"/>
      <c r="F58" s="251">
        <v>12500</v>
      </c>
      <c r="G58" s="248">
        <v>6</v>
      </c>
      <c r="H58" s="248">
        <v>49513.41</v>
      </c>
      <c r="I58" s="246" t="s">
        <v>1867</v>
      </c>
      <c r="J58" s="246" t="s">
        <v>1868</v>
      </c>
      <c r="K58" s="246"/>
      <c r="L58" s="246"/>
      <c r="M58" s="246"/>
    </row>
    <row r="59" spans="1:13" ht="16.05" customHeight="1" x14ac:dyDescent="0.3">
      <c r="A59" s="249" t="s">
        <v>1815</v>
      </c>
      <c r="B59" s="249" t="s">
        <v>169</v>
      </c>
      <c r="C59" s="249" t="s">
        <v>1869</v>
      </c>
      <c r="D59" s="249"/>
      <c r="E59" s="250"/>
      <c r="F59" s="251">
        <v>3834</v>
      </c>
      <c r="G59" s="250">
        <v>6</v>
      </c>
      <c r="H59" s="250">
        <v>45673.41</v>
      </c>
      <c r="I59" s="249" t="s">
        <v>1870</v>
      </c>
      <c r="J59" s="249" t="s">
        <v>1871</v>
      </c>
      <c r="K59" s="249"/>
      <c r="L59" s="249"/>
      <c r="M59" s="249"/>
    </row>
    <row r="60" spans="1:13" ht="16.05" customHeight="1" x14ac:dyDescent="0.3">
      <c r="A60" s="246" t="s">
        <v>1815</v>
      </c>
      <c r="B60" s="246" t="s">
        <v>169</v>
      </c>
      <c r="C60" s="246" t="s">
        <v>63</v>
      </c>
      <c r="D60" s="246"/>
      <c r="E60" s="247">
        <v>170</v>
      </c>
      <c r="F60" s="248"/>
      <c r="G60" s="248"/>
      <c r="H60" s="248">
        <v>45843.41</v>
      </c>
      <c r="I60" s="246" t="s">
        <v>18</v>
      </c>
      <c r="J60" s="246" t="s">
        <v>64</v>
      </c>
      <c r="K60" s="246" t="s">
        <v>1834</v>
      </c>
      <c r="L60" s="246" t="s">
        <v>1835</v>
      </c>
      <c r="M60" s="246"/>
    </row>
    <row r="61" spans="1:13" ht="16.05" customHeight="1" x14ac:dyDescent="0.3">
      <c r="A61" s="249" t="s">
        <v>1815</v>
      </c>
      <c r="B61" s="249" t="s">
        <v>169</v>
      </c>
      <c r="C61" s="249" t="s">
        <v>171</v>
      </c>
      <c r="D61" s="249"/>
      <c r="E61" s="247">
        <v>500</v>
      </c>
      <c r="F61" s="250"/>
      <c r="G61" s="250"/>
      <c r="H61" s="250">
        <v>46343.41</v>
      </c>
      <c r="I61" s="249" t="s">
        <v>18</v>
      </c>
      <c r="J61" s="249" t="s">
        <v>64</v>
      </c>
      <c r="K61" s="249" t="s">
        <v>1834</v>
      </c>
      <c r="L61" s="249" t="s">
        <v>1835</v>
      </c>
      <c r="M61" s="249"/>
    </row>
    <row r="62" spans="1:13" ht="16.05" customHeight="1" x14ac:dyDescent="0.3">
      <c r="A62" s="246" t="s">
        <v>1815</v>
      </c>
      <c r="B62" s="246" t="s">
        <v>169</v>
      </c>
      <c r="C62" s="246" t="s">
        <v>172</v>
      </c>
      <c r="D62" s="246"/>
      <c r="E62" s="247">
        <v>350</v>
      </c>
      <c r="F62" s="248"/>
      <c r="G62" s="248"/>
      <c r="H62" s="248">
        <v>46693.41</v>
      </c>
      <c r="I62" s="246" t="s">
        <v>18</v>
      </c>
      <c r="J62" s="246" t="s">
        <v>173</v>
      </c>
      <c r="K62" s="246" t="s">
        <v>1872</v>
      </c>
      <c r="L62" s="246" t="s">
        <v>506</v>
      </c>
      <c r="M62" s="246"/>
    </row>
    <row r="63" spans="1:13" ht="16.05" customHeight="1" x14ac:dyDescent="0.3">
      <c r="A63" s="249" t="s">
        <v>1815</v>
      </c>
      <c r="B63" s="249" t="s">
        <v>169</v>
      </c>
      <c r="C63" s="249" t="s">
        <v>175</v>
      </c>
      <c r="D63" s="249"/>
      <c r="E63" s="247">
        <v>600</v>
      </c>
      <c r="F63" s="250"/>
      <c r="G63" s="250"/>
      <c r="H63" s="250">
        <v>47293.41</v>
      </c>
      <c r="I63" s="249" t="s">
        <v>101</v>
      </c>
      <c r="J63" s="249" t="s">
        <v>175</v>
      </c>
      <c r="K63" s="249"/>
      <c r="L63" s="249"/>
      <c r="M63" s="249"/>
    </row>
    <row r="64" spans="1:13" ht="16.05" customHeight="1" x14ac:dyDescent="0.3">
      <c r="A64" s="246" t="s">
        <v>1815</v>
      </c>
      <c r="B64" s="246" t="s">
        <v>169</v>
      </c>
      <c r="C64" s="246" t="s">
        <v>176</v>
      </c>
      <c r="D64" s="246"/>
      <c r="E64" s="247">
        <v>350</v>
      </c>
      <c r="F64" s="248"/>
      <c r="G64" s="248"/>
      <c r="H64" s="248">
        <v>47643.41</v>
      </c>
      <c r="I64" s="246" t="s">
        <v>18</v>
      </c>
      <c r="J64" s="246" t="s">
        <v>177</v>
      </c>
      <c r="K64" s="246" t="s">
        <v>1873</v>
      </c>
      <c r="L64" s="246" t="s">
        <v>506</v>
      </c>
      <c r="M64" s="246"/>
    </row>
    <row r="65" spans="1:13" ht="16.05" customHeight="1" x14ac:dyDescent="0.3">
      <c r="A65" s="249" t="s">
        <v>1815</v>
      </c>
      <c r="B65" s="249" t="s">
        <v>169</v>
      </c>
      <c r="C65" s="249" t="s">
        <v>179</v>
      </c>
      <c r="D65" s="249"/>
      <c r="E65" s="247">
        <v>500</v>
      </c>
      <c r="F65" s="250"/>
      <c r="G65" s="250"/>
      <c r="H65" s="250">
        <v>48143.41</v>
      </c>
      <c r="I65" s="249" t="s">
        <v>101</v>
      </c>
      <c r="J65" s="249" t="s">
        <v>179</v>
      </c>
      <c r="K65" s="249"/>
      <c r="L65" s="249"/>
      <c r="M65" s="249"/>
    </row>
    <row r="66" spans="1:13" ht="16.05" customHeight="1" x14ac:dyDescent="0.3">
      <c r="A66" s="246" t="s">
        <v>1815</v>
      </c>
      <c r="B66" s="246" t="s">
        <v>169</v>
      </c>
      <c r="C66" s="246" t="s">
        <v>180</v>
      </c>
      <c r="D66" s="246"/>
      <c r="E66" s="247">
        <v>1000</v>
      </c>
      <c r="F66" s="248"/>
      <c r="G66" s="248"/>
      <c r="H66" s="248">
        <v>49143.41</v>
      </c>
      <c r="I66" s="246" t="s">
        <v>92</v>
      </c>
      <c r="J66" s="246" t="s">
        <v>181</v>
      </c>
      <c r="K66" s="246" t="s">
        <v>1874</v>
      </c>
      <c r="L66" s="246"/>
      <c r="M66" s="246"/>
    </row>
    <row r="67" spans="1:13" ht="16.05" customHeight="1" x14ac:dyDescent="0.3">
      <c r="A67" s="249" t="s">
        <v>1815</v>
      </c>
      <c r="B67" s="249" t="s">
        <v>169</v>
      </c>
      <c r="C67" s="249" t="s">
        <v>183</v>
      </c>
      <c r="D67" s="249"/>
      <c r="E67" s="247">
        <v>500</v>
      </c>
      <c r="F67" s="250"/>
      <c r="G67" s="250"/>
      <c r="H67" s="250">
        <v>49643.41</v>
      </c>
      <c r="I67" s="249" t="s">
        <v>18</v>
      </c>
      <c r="J67" s="249" t="s">
        <v>184</v>
      </c>
      <c r="K67" s="249" t="s">
        <v>1875</v>
      </c>
      <c r="L67" s="249" t="s">
        <v>795</v>
      </c>
      <c r="M67" s="249"/>
    </row>
    <row r="68" spans="1:13" ht="16.05" customHeight="1" x14ac:dyDescent="0.3">
      <c r="A68" s="246" t="s">
        <v>1815</v>
      </c>
      <c r="B68" s="246" t="s">
        <v>169</v>
      </c>
      <c r="C68" s="246" t="s">
        <v>186</v>
      </c>
      <c r="D68" s="246"/>
      <c r="E68" s="247">
        <v>500</v>
      </c>
      <c r="F68" s="248"/>
      <c r="G68" s="248"/>
      <c r="H68" s="248">
        <v>50143.41</v>
      </c>
      <c r="I68" s="246" t="s">
        <v>101</v>
      </c>
      <c r="J68" s="246" t="s">
        <v>186</v>
      </c>
      <c r="K68" s="246"/>
      <c r="L68" s="246"/>
      <c r="M68" s="246"/>
    </row>
    <row r="69" spans="1:13" ht="16.05" customHeight="1" x14ac:dyDescent="0.3">
      <c r="A69" s="249" t="s">
        <v>1815</v>
      </c>
      <c r="B69" s="249" t="s">
        <v>169</v>
      </c>
      <c r="C69" s="249" t="s">
        <v>187</v>
      </c>
      <c r="D69" s="249"/>
      <c r="E69" s="247">
        <v>200</v>
      </c>
      <c r="F69" s="250"/>
      <c r="G69" s="250"/>
      <c r="H69" s="250">
        <v>50343.41</v>
      </c>
      <c r="I69" s="249" t="s">
        <v>18</v>
      </c>
      <c r="J69" s="249" t="s">
        <v>188</v>
      </c>
      <c r="K69" s="249" t="s">
        <v>1876</v>
      </c>
      <c r="L69" s="249" t="s">
        <v>1433</v>
      </c>
      <c r="M69" s="249"/>
    </row>
    <row r="70" spans="1:13" ht="16.05" customHeight="1" x14ac:dyDescent="0.3">
      <c r="A70" s="246" t="s">
        <v>1815</v>
      </c>
      <c r="B70" s="246" t="s">
        <v>169</v>
      </c>
      <c r="C70" s="246" t="s">
        <v>191</v>
      </c>
      <c r="D70" s="246"/>
      <c r="E70" s="247">
        <v>500</v>
      </c>
      <c r="F70" s="248"/>
      <c r="G70" s="248"/>
      <c r="H70" s="248">
        <v>50843.41</v>
      </c>
      <c r="I70" s="246" t="s">
        <v>18</v>
      </c>
      <c r="J70" s="246" t="s">
        <v>192</v>
      </c>
      <c r="K70" s="246" t="s">
        <v>1877</v>
      </c>
      <c r="L70" s="246" t="s">
        <v>1878</v>
      </c>
      <c r="M70" s="246"/>
    </row>
    <row r="71" spans="1:13" ht="16.05" customHeight="1" x14ac:dyDescent="0.3">
      <c r="A71" s="249" t="s">
        <v>1815</v>
      </c>
      <c r="B71" s="249" t="s">
        <v>194</v>
      </c>
      <c r="C71" s="249" t="s">
        <v>195</v>
      </c>
      <c r="D71" s="249"/>
      <c r="E71" s="247">
        <v>1263</v>
      </c>
      <c r="F71" s="250"/>
      <c r="G71" s="250"/>
      <c r="H71" s="250">
        <v>52106.41</v>
      </c>
      <c r="I71" s="249" t="s">
        <v>13</v>
      </c>
      <c r="J71" s="249" t="s">
        <v>16</v>
      </c>
      <c r="K71" s="249"/>
      <c r="L71" s="249"/>
      <c r="M71" s="249"/>
    </row>
    <row r="72" spans="1:13" ht="16.05" customHeight="1" x14ac:dyDescent="0.3">
      <c r="A72" s="246" t="s">
        <v>1815</v>
      </c>
      <c r="B72" s="246" t="s">
        <v>194</v>
      </c>
      <c r="C72" s="246" t="s">
        <v>196</v>
      </c>
      <c r="D72" s="246"/>
      <c r="E72" s="247">
        <v>500</v>
      </c>
      <c r="F72" s="248"/>
      <c r="G72" s="248"/>
      <c r="H72" s="248">
        <v>52606.41</v>
      </c>
      <c r="I72" s="246" t="s">
        <v>18</v>
      </c>
      <c r="J72" s="246" t="s">
        <v>197</v>
      </c>
      <c r="K72" s="246" t="s">
        <v>1879</v>
      </c>
      <c r="L72" s="246" t="s">
        <v>1880</v>
      </c>
      <c r="M72" s="246"/>
    </row>
    <row r="73" spans="1:13" ht="16.05" customHeight="1" x14ac:dyDescent="0.3">
      <c r="A73" s="249" t="s">
        <v>1815</v>
      </c>
      <c r="B73" s="249" t="s">
        <v>194</v>
      </c>
      <c r="C73" s="249" t="s">
        <v>199</v>
      </c>
      <c r="D73" s="249"/>
      <c r="E73" s="247">
        <v>1000</v>
      </c>
      <c r="F73" s="250"/>
      <c r="G73" s="250"/>
      <c r="H73" s="250">
        <v>53606.41</v>
      </c>
      <c r="I73" s="249" t="s">
        <v>92</v>
      </c>
      <c r="J73" s="249" t="s">
        <v>200</v>
      </c>
      <c r="K73" s="249" t="s">
        <v>1881</v>
      </c>
      <c r="L73" s="249"/>
      <c r="M73" s="249"/>
    </row>
    <row r="74" spans="1:13" ht="16.05" customHeight="1" x14ac:dyDescent="0.3">
      <c r="A74" s="246" t="s">
        <v>1815</v>
      </c>
      <c r="B74" s="246" t="s">
        <v>194</v>
      </c>
      <c r="C74" s="246" t="s">
        <v>202</v>
      </c>
      <c r="D74" s="246"/>
      <c r="E74" s="247">
        <v>500</v>
      </c>
      <c r="F74" s="248"/>
      <c r="G74" s="248"/>
      <c r="H74" s="248">
        <v>54106.41</v>
      </c>
      <c r="I74" s="246" t="s">
        <v>92</v>
      </c>
      <c r="J74" s="246" t="s">
        <v>203</v>
      </c>
      <c r="K74" s="246" t="s">
        <v>1882</v>
      </c>
      <c r="L74" s="246"/>
      <c r="M74" s="246"/>
    </row>
    <row r="75" spans="1:13" ht="16.05" customHeight="1" x14ac:dyDescent="0.3">
      <c r="A75" s="249" t="s">
        <v>1815</v>
      </c>
      <c r="B75" s="249" t="s">
        <v>194</v>
      </c>
      <c r="C75" s="249" t="s">
        <v>205</v>
      </c>
      <c r="D75" s="249"/>
      <c r="E75" s="247">
        <v>500</v>
      </c>
      <c r="F75" s="250"/>
      <c r="G75" s="250"/>
      <c r="H75" s="250">
        <v>54606.41</v>
      </c>
      <c r="I75" s="249" t="s">
        <v>92</v>
      </c>
      <c r="J75" s="249" t="s">
        <v>206</v>
      </c>
      <c r="K75" s="249" t="s">
        <v>1883</v>
      </c>
      <c r="L75" s="249" t="s">
        <v>1884</v>
      </c>
      <c r="M75" s="249"/>
    </row>
    <row r="76" spans="1:13" ht="16.05" customHeight="1" x14ac:dyDescent="0.3">
      <c r="A76" s="246" t="s">
        <v>1815</v>
      </c>
      <c r="B76" s="246" t="s">
        <v>194</v>
      </c>
      <c r="C76" s="246" t="s">
        <v>208</v>
      </c>
      <c r="D76" s="246"/>
      <c r="E76" s="247">
        <v>300</v>
      </c>
      <c r="F76" s="248"/>
      <c r="G76" s="248"/>
      <c r="H76" s="248">
        <v>54906.41</v>
      </c>
      <c r="I76" s="246" t="s">
        <v>92</v>
      </c>
      <c r="J76" s="246" t="s">
        <v>188</v>
      </c>
      <c r="K76" s="246" t="s">
        <v>1876</v>
      </c>
      <c r="L76" s="246" t="s">
        <v>1433</v>
      </c>
      <c r="M76" s="246"/>
    </row>
    <row r="77" spans="1:13" ht="16.05" customHeight="1" x14ac:dyDescent="0.3">
      <c r="A77" s="249" t="s">
        <v>1815</v>
      </c>
      <c r="B77" s="249" t="s">
        <v>194</v>
      </c>
      <c r="C77" s="249" t="s">
        <v>1885</v>
      </c>
      <c r="D77" s="249"/>
      <c r="E77" s="250"/>
      <c r="F77" s="251">
        <v>350</v>
      </c>
      <c r="G77" s="250"/>
      <c r="H77" s="250">
        <v>54556.41</v>
      </c>
      <c r="I77" s="249" t="s">
        <v>1831</v>
      </c>
      <c r="J77" s="249" t="s">
        <v>1832</v>
      </c>
      <c r="K77" s="249"/>
      <c r="L77" s="249"/>
      <c r="M77" s="249"/>
    </row>
    <row r="78" spans="1:13" ht="16.05" customHeight="1" x14ac:dyDescent="0.3">
      <c r="A78" s="246" t="s">
        <v>1815</v>
      </c>
      <c r="B78" s="246" t="s">
        <v>1886</v>
      </c>
      <c r="C78" s="246" t="s">
        <v>1827</v>
      </c>
      <c r="D78" s="246"/>
      <c r="E78" s="248"/>
      <c r="F78" s="251">
        <v>471.51</v>
      </c>
      <c r="G78" s="248">
        <v>1</v>
      </c>
      <c r="H78" s="248">
        <v>54083.9</v>
      </c>
      <c r="I78" s="246" t="s">
        <v>1828</v>
      </c>
      <c r="J78" s="246" t="s">
        <v>1827</v>
      </c>
      <c r="K78" s="246"/>
      <c r="L78" s="246"/>
      <c r="M78" s="246"/>
    </row>
    <row r="79" spans="1:13" ht="16.05" customHeight="1" x14ac:dyDescent="0.3">
      <c r="A79" s="249" t="s">
        <v>1815</v>
      </c>
      <c r="B79" s="249" t="s">
        <v>209</v>
      </c>
      <c r="C79" s="249" t="s">
        <v>17</v>
      </c>
      <c r="D79" s="249"/>
      <c r="E79" s="247">
        <v>300</v>
      </c>
      <c r="F79" s="250"/>
      <c r="G79" s="250"/>
      <c r="H79" s="250">
        <v>54383.9</v>
      </c>
      <c r="I79" s="249" t="s">
        <v>18</v>
      </c>
      <c r="J79" s="249" t="s">
        <v>20</v>
      </c>
      <c r="K79" s="249" t="s">
        <v>1816</v>
      </c>
      <c r="L79" s="249" t="s">
        <v>506</v>
      </c>
      <c r="M79" s="249"/>
    </row>
    <row r="80" spans="1:13" ht="16.05" customHeight="1" x14ac:dyDescent="0.3">
      <c r="A80" s="246" t="s">
        <v>1815</v>
      </c>
      <c r="B80" s="246" t="s">
        <v>209</v>
      </c>
      <c r="C80" s="246" t="s">
        <v>49</v>
      </c>
      <c r="D80" s="246"/>
      <c r="E80" s="247">
        <v>300</v>
      </c>
      <c r="F80" s="248"/>
      <c r="G80" s="248"/>
      <c r="H80" s="248">
        <v>54683.9</v>
      </c>
      <c r="I80" s="246" t="s">
        <v>18</v>
      </c>
      <c r="J80" s="246" t="s">
        <v>51</v>
      </c>
      <c r="K80" s="246" t="s">
        <v>1824</v>
      </c>
      <c r="L80" s="246" t="s">
        <v>506</v>
      </c>
      <c r="M80" s="246"/>
    </row>
    <row r="81" spans="1:13" ht="16.05" customHeight="1" x14ac:dyDescent="0.3">
      <c r="A81" s="249" t="s">
        <v>1815</v>
      </c>
      <c r="B81" s="249" t="s">
        <v>209</v>
      </c>
      <c r="C81" s="249" t="s">
        <v>210</v>
      </c>
      <c r="D81" s="249"/>
      <c r="E81" s="247">
        <v>600</v>
      </c>
      <c r="F81" s="250"/>
      <c r="G81" s="250"/>
      <c r="H81" s="250">
        <v>55283.9</v>
      </c>
      <c r="I81" s="249" t="s">
        <v>18</v>
      </c>
      <c r="J81" s="249" t="s">
        <v>211</v>
      </c>
      <c r="K81" s="249" t="s">
        <v>1887</v>
      </c>
      <c r="L81" s="249" t="s">
        <v>1888</v>
      </c>
      <c r="M81" s="249"/>
    </row>
    <row r="82" spans="1:13" ht="16.05" customHeight="1" x14ac:dyDescent="0.3">
      <c r="A82" s="246" t="s">
        <v>1815</v>
      </c>
      <c r="B82" s="246" t="s">
        <v>209</v>
      </c>
      <c r="C82" s="246" t="s">
        <v>213</v>
      </c>
      <c r="D82" s="246"/>
      <c r="E82" s="247">
        <v>400</v>
      </c>
      <c r="F82" s="248"/>
      <c r="G82" s="248"/>
      <c r="H82" s="248">
        <v>55683.9</v>
      </c>
      <c r="I82" s="246" t="s">
        <v>18</v>
      </c>
      <c r="J82" s="246" t="s">
        <v>214</v>
      </c>
      <c r="K82" s="246" t="s">
        <v>1889</v>
      </c>
      <c r="L82" s="246" t="s">
        <v>506</v>
      </c>
      <c r="M82" s="246"/>
    </row>
    <row r="83" spans="1:13" ht="16.05" customHeight="1" x14ac:dyDescent="0.3">
      <c r="A83" s="249" t="s">
        <v>1815</v>
      </c>
      <c r="B83" s="249" t="s">
        <v>209</v>
      </c>
      <c r="C83" s="249" t="s">
        <v>216</v>
      </c>
      <c r="D83" s="249"/>
      <c r="E83" s="247">
        <v>500</v>
      </c>
      <c r="F83" s="250"/>
      <c r="G83" s="250"/>
      <c r="H83" s="250">
        <v>56183.9</v>
      </c>
      <c r="I83" s="249" t="s">
        <v>92</v>
      </c>
      <c r="J83" s="249" t="s">
        <v>214</v>
      </c>
      <c r="K83" s="249" t="s">
        <v>1889</v>
      </c>
      <c r="L83" s="249" t="s">
        <v>506</v>
      </c>
      <c r="M83" s="249"/>
    </row>
    <row r="84" spans="1:13" ht="16.05" customHeight="1" x14ac:dyDescent="0.3">
      <c r="A84" s="246" t="s">
        <v>1815</v>
      </c>
      <c r="B84" s="246" t="s">
        <v>209</v>
      </c>
      <c r="C84" s="246" t="s">
        <v>1890</v>
      </c>
      <c r="D84" s="246"/>
      <c r="E84" s="248"/>
      <c r="F84" s="251">
        <v>14500</v>
      </c>
      <c r="G84" s="248">
        <v>6</v>
      </c>
      <c r="H84" s="248">
        <v>41677.9</v>
      </c>
      <c r="I84" s="246" t="s">
        <v>1891</v>
      </c>
      <c r="J84" s="246" t="s">
        <v>1892</v>
      </c>
      <c r="K84" s="246"/>
      <c r="L84" s="246"/>
      <c r="M84" s="246"/>
    </row>
    <row r="85" spans="1:13" ht="16.05" customHeight="1" x14ac:dyDescent="0.3">
      <c r="A85" s="249" t="s">
        <v>1815</v>
      </c>
      <c r="B85" s="249" t="s">
        <v>209</v>
      </c>
      <c r="C85" s="249" t="s">
        <v>217</v>
      </c>
      <c r="D85" s="249"/>
      <c r="E85" s="247">
        <v>170</v>
      </c>
      <c r="F85" s="250"/>
      <c r="G85" s="250"/>
      <c r="H85" s="250">
        <v>41847.9</v>
      </c>
      <c r="I85" s="249" t="s">
        <v>18</v>
      </c>
      <c r="J85" s="249" t="s">
        <v>218</v>
      </c>
      <c r="K85" s="249" t="s">
        <v>1893</v>
      </c>
      <c r="L85" s="249" t="s">
        <v>506</v>
      </c>
      <c r="M85" s="249"/>
    </row>
    <row r="86" spans="1:13" ht="16.05" customHeight="1" x14ac:dyDescent="0.3">
      <c r="A86" s="246" t="s">
        <v>1815</v>
      </c>
      <c r="B86" s="246" t="s">
        <v>209</v>
      </c>
      <c r="C86" s="246" t="s">
        <v>221</v>
      </c>
      <c r="D86" s="246"/>
      <c r="E86" s="247">
        <v>300</v>
      </c>
      <c r="F86" s="248"/>
      <c r="G86" s="248"/>
      <c r="H86" s="248">
        <v>42147.9</v>
      </c>
      <c r="I86" s="246" t="s">
        <v>18</v>
      </c>
      <c r="J86" s="246" t="s">
        <v>222</v>
      </c>
      <c r="K86" s="246" t="s">
        <v>1894</v>
      </c>
      <c r="L86" s="246" t="s">
        <v>506</v>
      </c>
      <c r="M86" s="246"/>
    </row>
    <row r="87" spans="1:13" ht="16.05" customHeight="1" x14ac:dyDescent="0.3">
      <c r="A87" s="249" t="s">
        <v>1815</v>
      </c>
      <c r="B87" s="249" t="s">
        <v>224</v>
      </c>
      <c r="C87" s="249" t="s">
        <v>60</v>
      </c>
      <c r="D87" s="249"/>
      <c r="E87" s="247">
        <v>170</v>
      </c>
      <c r="F87" s="250"/>
      <c r="G87" s="250"/>
      <c r="H87" s="250">
        <v>42317.9</v>
      </c>
      <c r="I87" s="249" t="s">
        <v>18</v>
      </c>
      <c r="J87" s="249" t="s">
        <v>61</v>
      </c>
      <c r="K87" s="249" t="s">
        <v>1833</v>
      </c>
      <c r="L87" s="249" t="s">
        <v>1546</v>
      </c>
      <c r="M87" s="249"/>
    </row>
    <row r="88" spans="1:13" ht="16.05" customHeight="1" x14ac:dyDescent="0.3">
      <c r="A88" s="246" t="s">
        <v>1815</v>
      </c>
      <c r="B88" s="246" t="s">
        <v>224</v>
      </c>
      <c r="C88" s="246" t="s">
        <v>1895</v>
      </c>
      <c r="D88" s="246"/>
      <c r="E88" s="248"/>
      <c r="F88" s="251">
        <v>50</v>
      </c>
      <c r="G88" s="248"/>
      <c r="H88" s="248">
        <v>42267.9</v>
      </c>
      <c r="I88" s="246" t="s">
        <v>1822</v>
      </c>
      <c r="J88" s="246" t="s">
        <v>1822</v>
      </c>
      <c r="K88" s="246"/>
      <c r="L88" s="246"/>
      <c r="M88" s="246"/>
    </row>
    <row r="89" spans="1:13" ht="16.05" customHeight="1" x14ac:dyDescent="0.3">
      <c r="A89" s="311" t="s">
        <v>1896</v>
      </c>
      <c r="B89" s="282"/>
      <c r="C89" s="282"/>
      <c r="D89" s="282"/>
      <c r="E89" s="253">
        <v>60875</v>
      </c>
      <c r="F89" s="254">
        <v>36792</v>
      </c>
      <c r="G89" s="255">
        <v>26</v>
      </c>
      <c r="H89" s="252"/>
      <c r="I89" s="252"/>
      <c r="J89" s="252"/>
      <c r="K89" s="252"/>
      <c r="L89" s="252"/>
      <c r="M89" s="252"/>
    </row>
    <row r="91" spans="1:13" ht="18" customHeight="1" x14ac:dyDescent="0.3">
      <c r="A91" s="313" t="s">
        <v>1897</v>
      </c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</row>
    <row r="92" spans="1:13" ht="16.05" customHeight="1" x14ac:dyDescent="0.3">
      <c r="A92" s="246" t="s">
        <v>1898</v>
      </c>
      <c r="B92" s="246" t="s">
        <v>225</v>
      </c>
      <c r="C92" s="246" t="s">
        <v>1899</v>
      </c>
      <c r="D92" s="246" t="s">
        <v>1900</v>
      </c>
      <c r="E92" s="247">
        <v>11153</v>
      </c>
      <c r="F92" s="248"/>
      <c r="G92" s="248"/>
      <c r="H92" s="248">
        <v>53420.9</v>
      </c>
      <c r="I92" s="246" t="s">
        <v>13</v>
      </c>
      <c r="J92" s="246"/>
      <c r="K92" s="246"/>
      <c r="L92" s="246" t="s">
        <v>1901</v>
      </c>
      <c r="M92" s="246" t="s">
        <v>1902</v>
      </c>
    </row>
    <row r="93" spans="1:13" ht="16.05" customHeight="1" x14ac:dyDescent="0.3">
      <c r="A93" s="249" t="s">
        <v>1898</v>
      </c>
      <c r="B93" s="249" t="s">
        <v>225</v>
      </c>
      <c r="C93" s="249" t="s">
        <v>226</v>
      </c>
      <c r="D93" s="249" t="s">
        <v>1903</v>
      </c>
      <c r="E93" s="247">
        <v>350</v>
      </c>
      <c r="F93" s="250"/>
      <c r="G93" s="250"/>
      <c r="H93" s="250">
        <v>53770.9</v>
      </c>
      <c r="I93" s="249" t="s">
        <v>18</v>
      </c>
      <c r="J93" s="249" t="s">
        <v>229</v>
      </c>
      <c r="K93" s="249"/>
      <c r="L93" s="249" t="s">
        <v>506</v>
      </c>
      <c r="M93" s="249" t="s">
        <v>230</v>
      </c>
    </row>
    <row r="94" spans="1:13" ht="16.05" customHeight="1" x14ac:dyDescent="0.3">
      <c r="A94" s="246" t="s">
        <v>1898</v>
      </c>
      <c r="B94" s="246" t="s">
        <v>225</v>
      </c>
      <c r="C94" s="246" t="s">
        <v>1904</v>
      </c>
      <c r="D94" s="246" t="s">
        <v>1905</v>
      </c>
      <c r="E94" s="248"/>
      <c r="F94" s="251">
        <v>440.61</v>
      </c>
      <c r="G94" s="248"/>
      <c r="H94" s="248">
        <v>53330.29</v>
      </c>
      <c r="I94" s="246" t="s">
        <v>1906</v>
      </c>
      <c r="J94" s="246"/>
      <c r="K94" s="246"/>
      <c r="L94" s="246"/>
      <c r="M94" s="246" t="s">
        <v>1907</v>
      </c>
    </row>
    <row r="95" spans="1:13" ht="16.05" customHeight="1" x14ac:dyDescent="0.3">
      <c r="A95" s="249" t="s">
        <v>1898</v>
      </c>
      <c r="B95" s="249" t="s">
        <v>231</v>
      </c>
      <c r="C95" s="249" t="s">
        <v>1908</v>
      </c>
      <c r="D95" s="249" t="s">
        <v>1900</v>
      </c>
      <c r="E95" s="247">
        <v>350</v>
      </c>
      <c r="F95" s="250"/>
      <c r="G95" s="250"/>
      <c r="H95" s="250">
        <v>53680.29</v>
      </c>
      <c r="I95" s="249" t="s">
        <v>13</v>
      </c>
      <c r="J95" s="249"/>
      <c r="K95" s="249"/>
      <c r="L95" s="249" t="s">
        <v>1901</v>
      </c>
      <c r="M95" s="249" t="s">
        <v>1902</v>
      </c>
    </row>
    <row r="96" spans="1:13" ht="16.05" customHeight="1" x14ac:dyDescent="0.3">
      <c r="A96" s="246" t="s">
        <v>1898</v>
      </c>
      <c r="B96" s="246" t="s">
        <v>231</v>
      </c>
      <c r="C96" s="246" t="s">
        <v>1909</v>
      </c>
      <c r="D96" s="246" t="s">
        <v>1910</v>
      </c>
      <c r="E96" s="248"/>
      <c r="F96" s="251">
        <v>3456</v>
      </c>
      <c r="G96" s="248">
        <v>2</v>
      </c>
      <c r="H96" s="248">
        <v>50222.29</v>
      </c>
      <c r="I96" s="246" t="s">
        <v>1906</v>
      </c>
      <c r="J96" s="246"/>
      <c r="K96" s="246"/>
      <c r="L96" s="246"/>
      <c r="M96" s="246" t="s">
        <v>1911</v>
      </c>
    </row>
    <row r="97" spans="1:13" ht="16.05" customHeight="1" x14ac:dyDescent="0.3">
      <c r="A97" s="249" t="s">
        <v>1898</v>
      </c>
      <c r="B97" s="249" t="s">
        <v>231</v>
      </c>
      <c r="C97" s="249" t="s">
        <v>31</v>
      </c>
      <c r="D97" s="249" t="s">
        <v>1900</v>
      </c>
      <c r="E97" s="247">
        <v>350</v>
      </c>
      <c r="F97" s="250"/>
      <c r="G97" s="250"/>
      <c r="H97" s="250">
        <v>50572.29</v>
      </c>
      <c r="I97" s="249" t="s">
        <v>18</v>
      </c>
      <c r="J97" s="249" t="s">
        <v>33</v>
      </c>
      <c r="K97" s="249"/>
      <c r="L97" s="249" t="s">
        <v>506</v>
      </c>
      <c r="M97" s="249" t="s">
        <v>233</v>
      </c>
    </row>
    <row r="98" spans="1:13" ht="16.05" customHeight="1" x14ac:dyDescent="0.3">
      <c r="A98" s="246" t="s">
        <v>1898</v>
      </c>
      <c r="B98" s="246" t="s">
        <v>231</v>
      </c>
      <c r="C98" s="246" t="s">
        <v>114</v>
      </c>
      <c r="D98" s="246" t="s">
        <v>1900</v>
      </c>
      <c r="E98" s="247">
        <v>1000</v>
      </c>
      <c r="F98" s="248"/>
      <c r="G98" s="248"/>
      <c r="H98" s="248">
        <v>51572.29</v>
      </c>
      <c r="I98" s="246" t="s">
        <v>101</v>
      </c>
      <c r="J98" s="246" t="s">
        <v>132</v>
      </c>
      <c r="K98" s="246"/>
      <c r="L98" s="246" t="s">
        <v>92</v>
      </c>
      <c r="M98" s="246" t="s">
        <v>1912</v>
      </c>
    </row>
    <row r="99" spans="1:13" ht="16.05" customHeight="1" x14ac:dyDescent="0.3">
      <c r="A99" s="249" t="s">
        <v>1898</v>
      </c>
      <c r="B99" s="249" t="s">
        <v>231</v>
      </c>
      <c r="C99" s="249" t="s">
        <v>90</v>
      </c>
      <c r="D99" s="249" t="s">
        <v>1900</v>
      </c>
      <c r="E99" s="247">
        <v>200</v>
      </c>
      <c r="F99" s="250"/>
      <c r="G99" s="250"/>
      <c r="H99" s="250">
        <v>51772.29</v>
      </c>
      <c r="I99" s="249" t="s">
        <v>18</v>
      </c>
      <c r="J99" s="249" t="s">
        <v>234</v>
      </c>
      <c r="K99" s="249"/>
      <c r="L99" s="249" t="s">
        <v>506</v>
      </c>
      <c r="M99" s="249" t="s">
        <v>235</v>
      </c>
    </row>
    <row r="100" spans="1:13" ht="16.05" customHeight="1" x14ac:dyDescent="0.3">
      <c r="A100" s="246" t="s">
        <v>1898</v>
      </c>
      <c r="B100" s="246" t="s">
        <v>231</v>
      </c>
      <c r="C100" s="246" t="s">
        <v>236</v>
      </c>
      <c r="D100" s="246" t="s">
        <v>1900</v>
      </c>
      <c r="E100" s="247">
        <v>500</v>
      </c>
      <c r="F100" s="248"/>
      <c r="G100" s="248"/>
      <c r="H100" s="248">
        <v>52272.29</v>
      </c>
      <c r="I100" s="246" t="s">
        <v>92</v>
      </c>
      <c r="J100" s="246" t="s">
        <v>177</v>
      </c>
      <c r="K100" s="246"/>
      <c r="L100" s="246" t="s">
        <v>92</v>
      </c>
      <c r="M100" s="246" t="s">
        <v>237</v>
      </c>
    </row>
    <row r="101" spans="1:13" ht="16.05" customHeight="1" x14ac:dyDescent="0.3">
      <c r="A101" s="249" t="s">
        <v>1898</v>
      </c>
      <c r="B101" s="249" t="s">
        <v>238</v>
      </c>
      <c r="C101" s="249" t="s">
        <v>1913</v>
      </c>
      <c r="D101" s="249" t="s">
        <v>1900</v>
      </c>
      <c r="E101" s="247">
        <v>600</v>
      </c>
      <c r="F101" s="250"/>
      <c r="G101" s="250"/>
      <c r="H101" s="250">
        <v>52872.29</v>
      </c>
      <c r="I101" s="249" t="s">
        <v>13</v>
      </c>
      <c r="J101" s="249"/>
      <c r="K101" s="249"/>
      <c r="L101" s="249" t="s">
        <v>1901</v>
      </c>
      <c r="M101" s="249" t="s">
        <v>1902</v>
      </c>
    </row>
    <row r="102" spans="1:13" ht="16.05" customHeight="1" x14ac:dyDescent="0.3">
      <c r="A102" s="246" t="s">
        <v>1898</v>
      </c>
      <c r="B102" s="246" t="s">
        <v>238</v>
      </c>
      <c r="C102" s="246" t="s">
        <v>66</v>
      </c>
      <c r="D102" s="246" t="s">
        <v>1903</v>
      </c>
      <c r="E102" s="247">
        <v>200</v>
      </c>
      <c r="F102" s="248"/>
      <c r="G102" s="248"/>
      <c r="H102" s="248">
        <v>53072.29</v>
      </c>
      <c r="I102" s="246" t="s">
        <v>18</v>
      </c>
      <c r="J102" s="246" t="s">
        <v>67</v>
      </c>
      <c r="K102" s="246"/>
      <c r="L102" s="246" t="s">
        <v>506</v>
      </c>
      <c r="M102" s="246" t="s">
        <v>239</v>
      </c>
    </row>
    <row r="103" spans="1:13" ht="16.05" customHeight="1" x14ac:dyDescent="0.3">
      <c r="A103" s="249" t="s">
        <v>1898</v>
      </c>
      <c r="B103" s="249" t="s">
        <v>238</v>
      </c>
      <c r="C103" s="249" t="s">
        <v>240</v>
      </c>
      <c r="D103" s="249" t="s">
        <v>1914</v>
      </c>
      <c r="E103" s="247">
        <v>500</v>
      </c>
      <c r="F103" s="250"/>
      <c r="G103" s="250"/>
      <c r="H103" s="250">
        <v>53572.29</v>
      </c>
      <c r="I103" s="249" t="s">
        <v>92</v>
      </c>
      <c r="J103" s="249" t="s">
        <v>1915</v>
      </c>
      <c r="K103" s="249" t="s">
        <v>1916</v>
      </c>
      <c r="L103" s="249" t="s">
        <v>92</v>
      </c>
      <c r="M103" s="249" t="s">
        <v>242</v>
      </c>
    </row>
    <row r="104" spans="1:13" ht="16.05" customHeight="1" x14ac:dyDescent="0.3">
      <c r="A104" s="246" t="s">
        <v>1898</v>
      </c>
      <c r="B104" s="246" t="s">
        <v>243</v>
      </c>
      <c r="C104" s="246" t="s">
        <v>1917</v>
      </c>
      <c r="D104" s="246" t="s">
        <v>1900</v>
      </c>
      <c r="E104" s="247">
        <v>400</v>
      </c>
      <c r="F104" s="248"/>
      <c r="G104" s="248"/>
      <c r="H104" s="248">
        <v>53972.29</v>
      </c>
      <c r="I104" s="246" t="s">
        <v>13</v>
      </c>
      <c r="J104" s="246"/>
      <c r="K104" s="246"/>
      <c r="L104" s="246" t="s">
        <v>1901</v>
      </c>
      <c r="M104" s="246" t="s">
        <v>1902</v>
      </c>
    </row>
    <row r="105" spans="1:13" ht="16.05" customHeight="1" x14ac:dyDescent="0.3">
      <c r="A105" s="249" t="s">
        <v>1898</v>
      </c>
      <c r="B105" s="249" t="s">
        <v>243</v>
      </c>
      <c r="C105" s="249" t="s">
        <v>54</v>
      </c>
      <c r="D105" s="249" t="s">
        <v>1903</v>
      </c>
      <c r="E105" s="247">
        <v>200</v>
      </c>
      <c r="F105" s="250"/>
      <c r="G105" s="250"/>
      <c r="H105" s="250">
        <v>54172.29</v>
      </c>
      <c r="I105" s="249" t="s">
        <v>18</v>
      </c>
      <c r="J105" s="249" t="s">
        <v>55</v>
      </c>
      <c r="K105" s="249"/>
      <c r="L105" s="249" t="s">
        <v>506</v>
      </c>
      <c r="M105" s="249" t="s">
        <v>244</v>
      </c>
    </row>
    <row r="106" spans="1:13" ht="16.05" customHeight="1" x14ac:dyDescent="0.3">
      <c r="A106" s="246" t="s">
        <v>1898</v>
      </c>
      <c r="B106" s="246" t="s">
        <v>243</v>
      </c>
      <c r="C106" s="246" t="s">
        <v>37</v>
      </c>
      <c r="D106" s="246" t="s">
        <v>1900</v>
      </c>
      <c r="E106" s="247">
        <v>350</v>
      </c>
      <c r="F106" s="248"/>
      <c r="G106" s="248"/>
      <c r="H106" s="248">
        <v>54522.29</v>
      </c>
      <c r="I106" s="246" t="s">
        <v>18</v>
      </c>
      <c r="J106" s="246" t="s">
        <v>38</v>
      </c>
      <c r="K106" s="246"/>
      <c r="L106" s="246" t="s">
        <v>506</v>
      </c>
      <c r="M106" s="246" t="s">
        <v>245</v>
      </c>
    </row>
    <row r="107" spans="1:13" ht="16.05" customHeight="1" x14ac:dyDescent="0.3">
      <c r="A107" s="249" t="s">
        <v>1898</v>
      </c>
      <c r="B107" s="249" t="s">
        <v>243</v>
      </c>
      <c r="C107" s="249" t="s">
        <v>1918</v>
      </c>
      <c r="D107" s="249" t="s">
        <v>1900</v>
      </c>
      <c r="E107" s="247">
        <v>500</v>
      </c>
      <c r="F107" s="250"/>
      <c r="G107" s="250"/>
      <c r="H107" s="250">
        <v>55022.29</v>
      </c>
      <c r="I107" s="249" t="s">
        <v>92</v>
      </c>
      <c r="J107" s="249"/>
      <c r="K107" s="249"/>
      <c r="L107" s="249" t="s">
        <v>92</v>
      </c>
      <c r="M107" s="249" t="s">
        <v>1919</v>
      </c>
    </row>
    <row r="108" spans="1:13" ht="16.05" customHeight="1" x14ac:dyDescent="0.3">
      <c r="A108" s="246" t="s">
        <v>1898</v>
      </c>
      <c r="B108" s="246" t="s">
        <v>246</v>
      </c>
      <c r="C108" s="246" t="s">
        <v>73</v>
      </c>
      <c r="D108" s="246" t="s">
        <v>1900</v>
      </c>
      <c r="E108" s="247">
        <v>363</v>
      </c>
      <c r="F108" s="248"/>
      <c r="G108" s="248"/>
      <c r="H108" s="248">
        <v>55385.29</v>
      </c>
      <c r="I108" s="246" t="s">
        <v>13</v>
      </c>
      <c r="J108" s="246"/>
      <c r="K108" s="246"/>
      <c r="L108" s="246" t="s">
        <v>1901</v>
      </c>
      <c r="M108" s="246" t="s">
        <v>1902</v>
      </c>
    </row>
    <row r="109" spans="1:13" ht="16.05" customHeight="1" x14ac:dyDescent="0.3">
      <c r="A109" s="249" t="s">
        <v>1898</v>
      </c>
      <c r="B109" s="249" t="s">
        <v>246</v>
      </c>
      <c r="C109" s="249" t="s">
        <v>247</v>
      </c>
      <c r="D109" s="249" t="s">
        <v>1900</v>
      </c>
      <c r="E109" s="247">
        <v>1000</v>
      </c>
      <c r="F109" s="250"/>
      <c r="G109" s="250"/>
      <c r="H109" s="250">
        <v>56385.29</v>
      </c>
      <c r="I109" s="249" t="s">
        <v>92</v>
      </c>
      <c r="J109" s="249" t="s">
        <v>241</v>
      </c>
      <c r="K109" s="249" t="s">
        <v>1920</v>
      </c>
      <c r="L109" s="249" t="s">
        <v>92</v>
      </c>
      <c r="M109" s="249" t="s">
        <v>250</v>
      </c>
    </row>
    <row r="110" spans="1:13" ht="16.05" customHeight="1" x14ac:dyDescent="0.3">
      <c r="A110" s="246" t="s">
        <v>1898</v>
      </c>
      <c r="B110" s="246" t="s">
        <v>251</v>
      </c>
      <c r="C110" s="246" t="s">
        <v>252</v>
      </c>
      <c r="D110" s="246" t="s">
        <v>1900</v>
      </c>
      <c r="E110" s="247">
        <v>500</v>
      </c>
      <c r="F110" s="248"/>
      <c r="G110" s="248"/>
      <c r="H110" s="248">
        <v>56885.29</v>
      </c>
      <c r="I110" s="246" t="s">
        <v>92</v>
      </c>
      <c r="J110" s="246" t="s">
        <v>253</v>
      </c>
      <c r="K110" s="246"/>
      <c r="L110" s="246" t="s">
        <v>92</v>
      </c>
      <c r="M110" s="246" t="s">
        <v>254</v>
      </c>
    </row>
    <row r="111" spans="1:13" ht="16.05" customHeight="1" x14ac:dyDescent="0.3">
      <c r="A111" s="249" t="s">
        <v>1898</v>
      </c>
      <c r="B111" s="249" t="s">
        <v>251</v>
      </c>
      <c r="C111" s="249" t="s">
        <v>255</v>
      </c>
      <c r="D111" s="249" t="s">
        <v>1900</v>
      </c>
      <c r="E111" s="247">
        <v>170</v>
      </c>
      <c r="F111" s="250"/>
      <c r="G111" s="250"/>
      <c r="H111" s="250">
        <v>57055.29</v>
      </c>
      <c r="I111" s="249" t="s">
        <v>18</v>
      </c>
      <c r="J111" s="249" t="s">
        <v>256</v>
      </c>
      <c r="K111" s="249"/>
      <c r="L111" s="249" t="s">
        <v>506</v>
      </c>
      <c r="M111" s="249" t="s">
        <v>257</v>
      </c>
    </row>
    <row r="112" spans="1:13" ht="16.05" customHeight="1" x14ac:dyDescent="0.3">
      <c r="A112" s="246" t="s">
        <v>1898</v>
      </c>
      <c r="B112" s="246" t="s">
        <v>1921</v>
      </c>
      <c r="C112" s="246" t="s">
        <v>75</v>
      </c>
      <c r="D112" s="246" t="s">
        <v>1900</v>
      </c>
      <c r="E112" s="247">
        <v>500</v>
      </c>
      <c r="F112" s="248"/>
      <c r="G112" s="248"/>
      <c r="H112" s="248">
        <v>57555.29</v>
      </c>
      <c r="I112" s="246" t="s">
        <v>13</v>
      </c>
      <c r="J112" s="246"/>
      <c r="K112" s="246"/>
      <c r="L112" s="246" t="s">
        <v>1901</v>
      </c>
      <c r="M112" s="246" t="s">
        <v>1902</v>
      </c>
    </row>
    <row r="113" spans="1:13" ht="16.05" customHeight="1" x14ac:dyDescent="0.3">
      <c r="A113" s="249" t="s">
        <v>1898</v>
      </c>
      <c r="B113" s="249" t="s">
        <v>1922</v>
      </c>
      <c r="C113" s="249" t="s">
        <v>1923</v>
      </c>
      <c r="D113" s="249" t="s">
        <v>1910</v>
      </c>
      <c r="E113" s="250"/>
      <c r="F113" s="251">
        <v>14500</v>
      </c>
      <c r="G113" s="250">
        <v>2</v>
      </c>
      <c r="H113" s="250">
        <v>43053.29</v>
      </c>
      <c r="I113" s="249" t="s">
        <v>1906</v>
      </c>
      <c r="J113" s="249"/>
      <c r="K113" s="249"/>
      <c r="L113" s="249"/>
      <c r="M113" s="249" t="s">
        <v>1924</v>
      </c>
    </row>
    <row r="114" spans="1:13" ht="16.05" customHeight="1" x14ac:dyDescent="0.3">
      <c r="A114" s="246" t="s">
        <v>1898</v>
      </c>
      <c r="B114" s="246" t="s">
        <v>258</v>
      </c>
      <c r="C114" s="246" t="s">
        <v>1925</v>
      </c>
      <c r="D114" s="246" t="s">
        <v>1900</v>
      </c>
      <c r="E114" s="247">
        <v>973</v>
      </c>
      <c r="F114" s="248"/>
      <c r="G114" s="248"/>
      <c r="H114" s="248">
        <v>44026.29</v>
      </c>
      <c r="I114" s="246" t="s">
        <v>13</v>
      </c>
      <c r="J114" s="246"/>
      <c r="K114" s="246"/>
      <c r="L114" s="246" t="s">
        <v>1901</v>
      </c>
      <c r="M114" s="246" t="s">
        <v>1902</v>
      </c>
    </row>
    <row r="115" spans="1:13" ht="16.05" customHeight="1" x14ac:dyDescent="0.3">
      <c r="A115" s="249" t="s">
        <v>1898</v>
      </c>
      <c r="B115" s="249" t="s">
        <v>258</v>
      </c>
      <c r="C115" s="249" t="s">
        <v>23</v>
      </c>
      <c r="D115" s="249" t="s">
        <v>1900</v>
      </c>
      <c r="E115" s="247">
        <v>170</v>
      </c>
      <c r="F115" s="250"/>
      <c r="G115" s="250"/>
      <c r="H115" s="250">
        <v>44196.29</v>
      </c>
      <c r="I115" s="249" t="s">
        <v>18</v>
      </c>
      <c r="J115" s="249" t="s">
        <v>24</v>
      </c>
      <c r="K115" s="249"/>
      <c r="L115" s="249" t="s">
        <v>506</v>
      </c>
      <c r="M115" s="249" t="s">
        <v>259</v>
      </c>
    </row>
    <row r="116" spans="1:13" ht="16.05" customHeight="1" x14ac:dyDescent="0.3">
      <c r="A116" s="246" t="s">
        <v>1898</v>
      </c>
      <c r="B116" s="246" t="s">
        <v>1926</v>
      </c>
      <c r="C116" s="246" t="s">
        <v>1830</v>
      </c>
      <c r="D116" s="246" t="s">
        <v>1927</v>
      </c>
      <c r="E116" s="248"/>
      <c r="F116" s="251">
        <v>170</v>
      </c>
      <c r="G116" s="248"/>
      <c r="H116" s="248">
        <v>44026.29</v>
      </c>
      <c r="I116" s="246" t="s">
        <v>1831</v>
      </c>
      <c r="J116" s="246"/>
      <c r="K116" s="246"/>
      <c r="L116" s="246"/>
      <c r="M116" s="246" t="s">
        <v>1928</v>
      </c>
    </row>
    <row r="117" spans="1:13" ht="16.05" customHeight="1" x14ac:dyDescent="0.3">
      <c r="A117" s="249" t="s">
        <v>1898</v>
      </c>
      <c r="B117" s="249" t="s">
        <v>1929</v>
      </c>
      <c r="C117" s="249" t="s">
        <v>79</v>
      </c>
      <c r="D117" s="249" t="s">
        <v>1900</v>
      </c>
      <c r="E117" s="247">
        <v>363</v>
      </c>
      <c r="F117" s="250"/>
      <c r="G117" s="250"/>
      <c r="H117" s="250">
        <v>44389.29</v>
      </c>
      <c r="I117" s="249" t="s">
        <v>13</v>
      </c>
      <c r="J117" s="249"/>
      <c r="K117" s="249"/>
      <c r="L117" s="249" t="s">
        <v>1901</v>
      </c>
      <c r="M117" s="249" t="s">
        <v>1902</v>
      </c>
    </row>
    <row r="118" spans="1:13" ht="16.05" customHeight="1" x14ac:dyDescent="0.3">
      <c r="A118" s="246" t="s">
        <v>1898</v>
      </c>
      <c r="B118" s="246" t="s">
        <v>260</v>
      </c>
      <c r="C118" s="246" t="s">
        <v>81</v>
      </c>
      <c r="D118" s="246" t="s">
        <v>1900</v>
      </c>
      <c r="E118" s="247">
        <v>300</v>
      </c>
      <c r="F118" s="248"/>
      <c r="G118" s="248"/>
      <c r="H118" s="248">
        <v>44689.29</v>
      </c>
      <c r="I118" s="246" t="s">
        <v>13</v>
      </c>
      <c r="J118" s="246"/>
      <c r="K118" s="246"/>
      <c r="L118" s="246" t="s">
        <v>1901</v>
      </c>
      <c r="M118" s="246" t="s">
        <v>1902</v>
      </c>
    </row>
    <row r="119" spans="1:13" ht="16.05" customHeight="1" x14ac:dyDescent="0.3">
      <c r="A119" s="249" t="s">
        <v>1898</v>
      </c>
      <c r="B119" s="249" t="s">
        <v>260</v>
      </c>
      <c r="C119" s="249" t="s">
        <v>157</v>
      </c>
      <c r="D119" s="249" t="s">
        <v>1900</v>
      </c>
      <c r="E119" s="247">
        <v>350</v>
      </c>
      <c r="F119" s="250"/>
      <c r="G119" s="250"/>
      <c r="H119" s="250">
        <v>45039.29</v>
      </c>
      <c r="I119" s="249" t="s">
        <v>92</v>
      </c>
      <c r="J119" s="249" t="s">
        <v>85</v>
      </c>
      <c r="K119" s="249"/>
      <c r="L119" s="249" t="s">
        <v>92</v>
      </c>
      <c r="M119" s="249" t="s">
        <v>262</v>
      </c>
    </row>
    <row r="120" spans="1:13" ht="16.05" customHeight="1" x14ac:dyDescent="0.3">
      <c r="A120" s="246" t="s">
        <v>1898</v>
      </c>
      <c r="B120" s="246" t="s">
        <v>1930</v>
      </c>
      <c r="C120" s="246" t="s">
        <v>1931</v>
      </c>
      <c r="D120" s="246" t="s">
        <v>1900</v>
      </c>
      <c r="E120" s="247">
        <v>610</v>
      </c>
      <c r="F120" s="248"/>
      <c r="G120" s="248"/>
      <c r="H120" s="248">
        <v>45649.29</v>
      </c>
      <c r="I120" s="246" t="s">
        <v>13</v>
      </c>
      <c r="J120" s="246"/>
      <c r="K120" s="246"/>
      <c r="L120" s="246" t="s">
        <v>1901</v>
      </c>
      <c r="M120" s="246" t="s">
        <v>1902</v>
      </c>
    </row>
    <row r="121" spans="1:13" ht="16.05" customHeight="1" x14ac:dyDescent="0.3">
      <c r="A121" s="249" t="s">
        <v>1898</v>
      </c>
      <c r="B121" s="249" t="s">
        <v>263</v>
      </c>
      <c r="C121" s="249" t="s">
        <v>158</v>
      </c>
      <c r="D121" s="249" t="s">
        <v>1900</v>
      </c>
      <c r="E121" s="247">
        <v>300</v>
      </c>
      <c r="F121" s="250"/>
      <c r="G121" s="250"/>
      <c r="H121" s="250">
        <v>45949.29</v>
      </c>
      <c r="I121" s="249" t="s">
        <v>18</v>
      </c>
      <c r="J121" s="249" t="s">
        <v>159</v>
      </c>
      <c r="K121" s="249"/>
      <c r="L121" s="249" t="s">
        <v>506</v>
      </c>
      <c r="M121" s="249" t="s">
        <v>254</v>
      </c>
    </row>
    <row r="122" spans="1:13" ht="16.05" customHeight="1" x14ac:dyDescent="0.3">
      <c r="A122" s="246" t="s">
        <v>1898</v>
      </c>
      <c r="B122" s="246" t="s">
        <v>263</v>
      </c>
      <c r="C122" s="246" t="s">
        <v>187</v>
      </c>
      <c r="D122" s="246" t="s">
        <v>1900</v>
      </c>
      <c r="E122" s="247">
        <v>150</v>
      </c>
      <c r="F122" s="248"/>
      <c r="G122" s="248"/>
      <c r="H122" s="248">
        <v>46099.29</v>
      </c>
      <c r="I122" s="246" t="s">
        <v>18</v>
      </c>
      <c r="J122" s="246" t="s">
        <v>188</v>
      </c>
      <c r="K122" s="246"/>
      <c r="L122" s="246" t="s">
        <v>506</v>
      </c>
      <c r="M122" s="246" t="s">
        <v>264</v>
      </c>
    </row>
    <row r="123" spans="1:13" ht="16.05" customHeight="1" x14ac:dyDescent="0.3">
      <c r="A123" s="249" t="s">
        <v>1898</v>
      </c>
      <c r="B123" s="249" t="s">
        <v>265</v>
      </c>
      <c r="C123" s="249" t="s">
        <v>119</v>
      </c>
      <c r="D123" s="249" t="s">
        <v>1900</v>
      </c>
      <c r="E123" s="247">
        <v>700</v>
      </c>
      <c r="F123" s="250"/>
      <c r="G123" s="250"/>
      <c r="H123" s="250">
        <v>46799.29</v>
      </c>
      <c r="I123" s="249" t="s">
        <v>13</v>
      </c>
      <c r="J123" s="249"/>
      <c r="K123" s="249"/>
      <c r="L123" s="249" t="s">
        <v>1901</v>
      </c>
      <c r="M123" s="249" t="s">
        <v>1902</v>
      </c>
    </row>
    <row r="124" spans="1:13" ht="16.05" customHeight="1" x14ac:dyDescent="0.3">
      <c r="A124" s="246" t="s">
        <v>1898</v>
      </c>
      <c r="B124" s="246" t="s">
        <v>265</v>
      </c>
      <c r="C124" s="246" t="s">
        <v>266</v>
      </c>
      <c r="D124" s="246" t="s">
        <v>1900</v>
      </c>
      <c r="E124" s="247">
        <v>3500</v>
      </c>
      <c r="F124" s="248"/>
      <c r="G124" s="248"/>
      <c r="H124" s="248">
        <v>50299.29</v>
      </c>
      <c r="I124" s="246" t="s">
        <v>92</v>
      </c>
      <c r="J124" s="246" t="s">
        <v>267</v>
      </c>
      <c r="K124" s="246"/>
      <c r="L124" s="246" t="s">
        <v>92</v>
      </c>
      <c r="M124" s="246" t="s">
        <v>268</v>
      </c>
    </row>
    <row r="125" spans="1:13" ht="16.05" customHeight="1" x14ac:dyDescent="0.3">
      <c r="A125" s="249" t="s">
        <v>1898</v>
      </c>
      <c r="B125" s="249" t="s">
        <v>265</v>
      </c>
      <c r="C125" s="249" t="s">
        <v>143</v>
      </c>
      <c r="D125" s="249" t="s">
        <v>1900</v>
      </c>
      <c r="E125" s="247">
        <v>200</v>
      </c>
      <c r="F125" s="250"/>
      <c r="G125" s="250"/>
      <c r="H125" s="250">
        <v>50499.29</v>
      </c>
      <c r="I125" s="249" t="s">
        <v>18</v>
      </c>
      <c r="J125" s="249" t="s">
        <v>144</v>
      </c>
      <c r="K125" s="249"/>
      <c r="L125" s="249" t="s">
        <v>506</v>
      </c>
      <c r="M125" s="249" t="s">
        <v>269</v>
      </c>
    </row>
    <row r="126" spans="1:13" ht="16.05" customHeight="1" x14ac:dyDescent="0.3">
      <c r="A126" s="246" t="s">
        <v>1898</v>
      </c>
      <c r="B126" s="246" t="s">
        <v>270</v>
      </c>
      <c r="C126" s="246" t="s">
        <v>1866</v>
      </c>
      <c r="D126" s="246" t="s">
        <v>1932</v>
      </c>
      <c r="E126" s="248"/>
      <c r="F126" s="251">
        <v>12500</v>
      </c>
      <c r="G126" s="248">
        <v>6</v>
      </c>
      <c r="H126" s="248">
        <v>37993.29</v>
      </c>
      <c r="I126" s="246" t="s">
        <v>1906</v>
      </c>
      <c r="J126" s="246"/>
      <c r="K126" s="246"/>
      <c r="L126" s="246"/>
      <c r="M126" s="246" t="s">
        <v>1933</v>
      </c>
    </row>
    <row r="127" spans="1:13" ht="16.05" customHeight="1" x14ac:dyDescent="0.3">
      <c r="A127" s="249" t="s">
        <v>1898</v>
      </c>
      <c r="B127" s="249" t="s">
        <v>270</v>
      </c>
      <c r="C127" s="249" t="s">
        <v>1869</v>
      </c>
      <c r="D127" s="249" t="s">
        <v>1932</v>
      </c>
      <c r="E127" s="250"/>
      <c r="F127" s="251">
        <v>4750</v>
      </c>
      <c r="G127" s="250">
        <v>6</v>
      </c>
      <c r="H127" s="250">
        <v>33237.29</v>
      </c>
      <c r="I127" s="249" t="s">
        <v>1906</v>
      </c>
      <c r="J127" s="249"/>
      <c r="K127" s="249"/>
      <c r="L127" s="249"/>
      <c r="M127" s="249" t="s">
        <v>1934</v>
      </c>
    </row>
    <row r="128" spans="1:13" ht="16.05" customHeight="1" x14ac:dyDescent="0.3">
      <c r="A128" s="246" t="s">
        <v>1898</v>
      </c>
      <c r="B128" s="246" t="s">
        <v>270</v>
      </c>
      <c r="C128" s="246" t="s">
        <v>271</v>
      </c>
      <c r="D128" s="246" t="s">
        <v>1935</v>
      </c>
      <c r="E128" s="247">
        <v>2000</v>
      </c>
      <c r="F128" s="248"/>
      <c r="G128" s="248"/>
      <c r="H128" s="248">
        <v>35237.29</v>
      </c>
      <c r="I128" s="246" t="s">
        <v>92</v>
      </c>
      <c r="J128" s="246" t="s">
        <v>272</v>
      </c>
      <c r="K128" s="246"/>
      <c r="L128" s="246" t="s">
        <v>92</v>
      </c>
      <c r="M128" s="246" t="s">
        <v>273</v>
      </c>
    </row>
    <row r="129" spans="1:13" ht="16.05" customHeight="1" x14ac:dyDescent="0.3">
      <c r="A129" s="249" t="s">
        <v>1898</v>
      </c>
      <c r="B129" s="249" t="s">
        <v>274</v>
      </c>
      <c r="C129" s="249" t="s">
        <v>1936</v>
      </c>
      <c r="D129" s="249" t="s">
        <v>1900</v>
      </c>
      <c r="E129" s="247">
        <v>3683</v>
      </c>
      <c r="F129" s="250"/>
      <c r="G129" s="250"/>
      <c r="H129" s="250">
        <v>38920.29</v>
      </c>
      <c r="I129" s="249" t="s">
        <v>13</v>
      </c>
      <c r="J129" s="249"/>
      <c r="K129" s="249"/>
      <c r="L129" s="249" t="s">
        <v>1901</v>
      </c>
      <c r="M129" s="249" t="s">
        <v>1902</v>
      </c>
    </row>
    <row r="130" spans="1:13" ht="16.05" customHeight="1" x14ac:dyDescent="0.3">
      <c r="A130" s="246" t="s">
        <v>1898</v>
      </c>
      <c r="B130" s="246" t="s">
        <v>274</v>
      </c>
      <c r="C130" s="246" t="s">
        <v>166</v>
      </c>
      <c r="D130" s="246" t="s">
        <v>1900</v>
      </c>
      <c r="E130" s="247">
        <v>350</v>
      </c>
      <c r="F130" s="248"/>
      <c r="G130" s="248"/>
      <c r="H130" s="248">
        <v>39270.29</v>
      </c>
      <c r="I130" s="246" t="s">
        <v>18</v>
      </c>
      <c r="J130" s="246" t="s">
        <v>167</v>
      </c>
      <c r="K130" s="246"/>
      <c r="L130" s="246" t="s">
        <v>506</v>
      </c>
      <c r="M130" s="246" t="s">
        <v>275</v>
      </c>
    </row>
    <row r="131" spans="1:13" ht="16.05" customHeight="1" x14ac:dyDescent="0.3">
      <c r="A131" s="249" t="s">
        <v>1898</v>
      </c>
      <c r="B131" s="249" t="s">
        <v>274</v>
      </c>
      <c r="C131" s="249" t="s">
        <v>63</v>
      </c>
      <c r="D131" s="249" t="s">
        <v>1900</v>
      </c>
      <c r="E131" s="247">
        <v>170</v>
      </c>
      <c r="F131" s="250"/>
      <c r="G131" s="250"/>
      <c r="H131" s="250">
        <v>39440.29</v>
      </c>
      <c r="I131" s="249" t="s">
        <v>18</v>
      </c>
      <c r="J131" s="249" t="s">
        <v>64</v>
      </c>
      <c r="K131" s="249"/>
      <c r="L131" s="249" t="s">
        <v>506</v>
      </c>
      <c r="M131" s="249" t="s">
        <v>276</v>
      </c>
    </row>
    <row r="132" spans="1:13" ht="16.05" customHeight="1" x14ac:dyDescent="0.3">
      <c r="A132" s="246" t="s">
        <v>1898</v>
      </c>
      <c r="B132" s="246" t="s">
        <v>274</v>
      </c>
      <c r="C132" s="246" t="s">
        <v>277</v>
      </c>
      <c r="D132" s="246" t="s">
        <v>1900</v>
      </c>
      <c r="E132" s="247">
        <v>500</v>
      </c>
      <c r="F132" s="248"/>
      <c r="G132" s="248"/>
      <c r="H132" s="248">
        <v>39940.29</v>
      </c>
      <c r="I132" s="246" t="s">
        <v>18</v>
      </c>
      <c r="J132" s="246" t="s">
        <v>98</v>
      </c>
      <c r="K132" s="246"/>
      <c r="L132" s="246" t="s">
        <v>506</v>
      </c>
      <c r="M132" s="246" t="s">
        <v>278</v>
      </c>
    </row>
    <row r="133" spans="1:13" ht="16.05" customHeight="1" x14ac:dyDescent="0.3">
      <c r="A133" s="249" t="s">
        <v>1898</v>
      </c>
      <c r="B133" s="249" t="s">
        <v>274</v>
      </c>
      <c r="C133" s="249" t="s">
        <v>49</v>
      </c>
      <c r="D133" s="249" t="s">
        <v>1900</v>
      </c>
      <c r="E133" s="247">
        <v>300</v>
      </c>
      <c r="F133" s="250"/>
      <c r="G133" s="250"/>
      <c r="H133" s="250">
        <v>40240.29</v>
      </c>
      <c r="I133" s="249" t="s">
        <v>18</v>
      </c>
      <c r="J133" s="249" t="s">
        <v>51</v>
      </c>
      <c r="K133" s="249"/>
      <c r="L133" s="249" t="s">
        <v>506</v>
      </c>
      <c r="M133" s="249" t="s">
        <v>280</v>
      </c>
    </row>
    <row r="134" spans="1:13" ht="16.05" customHeight="1" x14ac:dyDescent="0.3">
      <c r="A134" s="246" t="s">
        <v>1898</v>
      </c>
      <c r="B134" s="246" t="s">
        <v>281</v>
      </c>
      <c r="C134" s="246" t="s">
        <v>17</v>
      </c>
      <c r="D134" s="246" t="s">
        <v>1900</v>
      </c>
      <c r="E134" s="247">
        <v>300</v>
      </c>
      <c r="F134" s="248"/>
      <c r="G134" s="248"/>
      <c r="H134" s="248">
        <v>40540.29</v>
      </c>
      <c r="I134" s="246" t="s">
        <v>18</v>
      </c>
      <c r="J134" s="246" t="s">
        <v>20</v>
      </c>
      <c r="K134" s="246"/>
      <c r="L134" s="246" t="s">
        <v>506</v>
      </c>
      <c r="M134" s="246" t="s">
        <v>282</v>
      </c>
    </row>
    <row r="135" spans="1:13" ht="16.05" customHeight="1" x14ac:dyDescent="0.3">
      <c r="A135" s="249" t="s">
        <v>1898</v>
      </c>
      <c r="B135" s="249" t="s">
        <v>281</v>
      </c>
      <c r="C135" s="249" t="s">
        <v>213</v>
      </c>
      <c r="D135" s="249" t="s">
        <v>1903</v>
      </c>
      <c r="E135" s="247">
        <v>400</v>
      </c>
      <c r="F135" s="250"/>
      <c r="G135" s="250"/>
      <c r="H135" s="250">
        <v>40940.29</v>
      </c>
      <c r="I135" s="249" t="s">
        <v>18</v>
      </c>
      <c r="J135" s="249" t="s">
        <v>283</v>
      </c>
      <c r="K135" s="249"/>
      <c r="L135" s="249" t="s">
        <v>506</v>
      </c>
      <c r="M135" s="249" t="s">
        <v>284</v>
      </c>
    </row>
    <row r="136" spans="1:13" ht="16.05" customHeight="1" x14ac:dyDescent="0.3">
      <c r="A136" s="246" t="s">
        <v>1898</v>
      </c>
      <c r="B136" s="246" t="s">
        <v>281</v>
      </c>
      <c r="C136" s="246" t="s">
        <v>1885</v>
      </c>
      <c r="D136" s="246" t="s">
        <v>1927</v>
      </c>
      <c r="E136" s="248"/>
      <c r="F136" s="251">
        <v>350</v>
      </c>
      <c r="G136" s="248"/>
      <c r="H136" s="248">
        <v>40590.29</v>
      </c>
      <c r="I136" s="246" t="s">
        <v>1831</v>
      </c>
      <c r="J136" s="246"/>
      <c r="K136" s="246"/>
      <c r="L136" s="246"/>
      <c r="M136" s="246" t="s">
        <v>1928</v>
      </c>
    </row>
    <row r="137" spans="1:13" ht="16.05" customHeight="1" x14ac:dyDescent="0.3">
      <c r="A137" s="249" t="s">
        <v>1898</v>
      </c>
      <c r="B137" s="249" t="s">
        <v>285</v>
      </c>
      <c r="C137" s="249" t="s">
        <v>310</v>
      </c>
      <c r="D137" s="249" t="s">
        <v>1900</v>
      </c>
      <c r="E137" s="247">
        <v>500</v>
      </c>
      <c r="F137" s="250"/>
      <c r="G137" s="250"/>
      <c r="H137" s="250">
        <v>41090.29</v>
      </c>
      <c r="I137" s="249" t="s">
        <v>101</v>
      </c>
      <c r="J137" s="249" t="s">
        <v>1806</v>
      </c>
      <c r="K137" s="249"/>
      <c r="L137" s="249" t="s">
        <v>92</v>
      </c>
      <c r="M137" s="249" t="s">
        <v>1937</v>
      </c>
    </row>
    <row r="138" spans="1:13" ht="16.05" customHeight="1" x14ac:dyDescent="0.3">
      <c r="A138" s="246" t="s">
        <v>1898</v>
      </c>
      <c r="B138" s="246" t="s">
        <v>285</v>
      </c>
      <c r="C138" s="246" t="s">
        <v>217</v>
      </c>
      <c r="D138" s="246" t="s">
        <v>1900</v>
      </c>
      <c r="E138" s="247">
        <v>170</v>
      </c>
      <c r="F138" s="248"/>
      <c r="G138" s="248"/>
      <c r="H138" s="248">
        <v>41260.29</v>
      </c>
      <c r="I138" s="246" t="s">
        <v>18</v>
      </c>
      <c r="J138" s="246" t="s">
        <v>286</v>
      </c>
      <c r="K138" s="246"/>
      <c r="L138" s="246" t="s">
        <v>506</v>
      </c>
      <c r="M138" s="246" t="s">
        <v>287</v>
      </c>
    </row>
    <row r="139" spans="1:13" ht="16.05" customHeight="1" x14ac:dyDescent="0.3">
      <c r="A139" s="249" t="s">
        <v>1898</v>
      </c>
      <c r="B139" s="249" t="s">
        <v>285</v>
      </c>
      <c r="C139" s="249" t="s">
        <v>176</v>
      </c>
      <c r="D139" s="249" t="s">
        <v>1900</v>
      </c>
      <c r="E139" s="247">
        <v>350</v>
      </c>
      <c r="F139" s="250"/>
      <c r="G139" s="250"/>
      <c r="H139" s="250">
        <v>41610.29</v>
      </c>
      <c r="I139" s="249" t="s">
        <v>18</v>
      </c>
      <c r="J139" s="249" t="s">
        <v>177</v>
      </c>
      <c r="K139" s="249" t="s">
        <v>1873</v>
      </c>
      <c r="L139" s="249" t="s">
        <v>506</v>
      </c>
      <c r="M139" s="249" t="s">
        <v>289</v>
      </c>
    </row>
    <row r="140" spans="1:13" ht="16.05" customHeight="1" x14ac:dyDescent="0.3">
      <c r="A140" s="246" t="s">
        <v>1898</v>
      </c>
      <c r="B140" s="246" t="s">
        <v>285</v>
      </c>
      <c r="C140" s="246" t="s">
        <v>1895</v>
      </c>
      <c r="D140" s="246" t="s">
        <v>1895</v>
      </c>
      <c r="E140" s="248"/>
      <c r="F140" s="251">
        <v>50</v>
      </c>
      <c r="G140" s="248"/>
      <c r="H140" s="248">
        <v>41560.29</v>
      </c>
      <c r="I140" s="246" t="s">
        <v>1906</v>
      </c>
      <c r="J140" s="246"/>
      <c r="K140" s="246"/>
      <c r="L140" s="246"/>
      <c r="M140" s="246" t="s">
        <v>1938</v>
      </c>
    </row>
    <row r="141" spans="1:13" ht="16.05" customHeight="1" x14ac:dyDescent="0.3">
      <c r="A141" s="311" t="s">
        <v>1939</v>
      </c>
      <c r="B141" s="282"/>
      <c r="C141" s="282"/>
      <c r="D141" s="282"/>
      <c r="E141" s="253">
        <v>35525</v>
      </c>
      <c r="F141" s="254">
        <v>36216.61</v>
      </c>
      <c r="G141" s="255">
        <v>16</v>
      </c>
      <c r="H141" s="252"/>
      <c r="I141" s="252"/>
      <c r="J141" s="252"/>
      <c r="K141" s="252"/>
      <c r="L141" s="252"/>
      <c r="M141" s="252"/>
    </row>
    <row r="142" spans="1:13" x14ac:dyDescent="0.3">
      <c r="A142" s="276" t="s">
        <v>1940</v>
      </c>
    </row>
    <row r="143" spans="1:13" x14ac:dyDescent="0.3">
      <c r="A143" t="s">
        <v>1941</v>
      </c>
      <c r="B143" t="s">
        <v>290</v>
      </c>
      <c r="C143" t="s">
        <v>1942</v>
      </c>
      <c r="D143" t="s">
        <v>1900</v>
      </c>
      <c r="E143">
        <v>11493</v>
      </c>
      <c r="H143">
        <v>53053.29</v>
      </c>
      <c r="I143" t="s">
        <v>1943</v>
      </c>
    </row>
    <row r="144" spans="1:13" x14ac:dyDescent="0.3">
      <c r="A144" t="s">
        <v>1941</v>
      </c>
      <c r="B144" t="s">
        <v>290</v>
      </c>
      <c r="C144" t="s">
        <v>90</v>
      </c>
      <c r="D144" t="s">
        <v>1900</v>
      </c>
      <c r="E144">
        <v>200</v>
      </c>
      <c r="H144">
        <v>53253.29</v>
      </c>
      <c r="I144" t="s">
        <v>506</v>
      </c>
    </row>
    <row r="145" spans="1:9" x14ac:dyDescent="0.3">
      <c r="A145" t="s">
        <v>1941</v>
      </c>
      <c r="B145" t="s">
        <v>290</v>
      </c>
      <c r="C145" t="s">
        <v>1827</v>
      </c>
      <c r="D145" t="s">
        <v>1944</v>
      </c>
      <c r="F145">
        <v>573</v>
      </c>
      <c r="G145">
        <v>1</v>
      </c>
      <c r="H145">
        <v>52679.29</v>
      </c>
      <c r="I145" t="s">
        <v>1945</v>
      </c>
    </row>
    <row r="146" spans="1:9" x14ac:dyDescent="0.3">
      <c r="A146" t="s">
        <v>1941</v>
      </c>
      <c r="B146" t="s">
        <v>290</v>
      </c>
      <c r="C146" t="s">
        <v>66</v>
      </c>
      <c r="D146" t="s">
        <v>1903</v>
      </c>
      <c r="E146">
        <v>200</v>
      </c>
      <c r="H146">
        <v>52879.29</v>
      </c>
      <c r="I146" t="s">
        <v>506</v>
      </c>
    </row>
    <row r="147" spans="1:9" x14ac:dyDescent="0.3">
      <c r="A147" t="s">
        <v>1941</v>
      </c>
      <c r="B147" t="s">
        <v>290</v>
      </c>
      <c r="C147" t="s">
        <v>221</v>
      </c>
      <c r="D147" t="s">
        <v>1900</v>
      </c>
      <c r="E147">
        <v>300</v>
      </c>
      <c r="H147">
        <v>53179.29</v>
      </c>
      <c r="I147" t="s">
        <v>506</v>
      </c>
    </row>
    <row r="148" spans="1:9" x14ac:dyDescent="0.3">
      <c r="A148" t="s">
        <v>1941</v>
      </c>
      <c r="B148" t="s">
        <v>291</v>
      </c>
      <c r="C148" t="s">
        <v>1913</v>
      </c>
      <c r="D148" t="s">
        <v>1900</v>
      </c>
      <c r="E148">
        <v>600</v>
      </c>
      <c r="H148">
        <v>53779.29</v>
      </c>
      <c r="I148" t="s">
        <v>1943</v>
      </c>
    </row>
    <row r="149" spans="1:9" x14ac:dyDescent="0.3">
      <c r="A149" t="s">
        <v>1941</v>
      </c>
      <c r="B149" t="s">
        <v>291</v>
      </c>
      <c r="C149" t="s">
        <v>37</v>
      </c>
      <c r="D149" t="s">
        <v>1900</v>
      </c>
      <c r="E149">
        <v>350</v>
      </c>
      <c r="H149">
        <v>54129.29</v>
      </c>
      <c r="I149" t="s">
        <v>506</v>
      </c>
    </row>
    <row r="150" spans="1:9" x14ac:dyDescent="0.3">
      <c r="A150" t="s">
        <v>1941</v>
      </c>
      <c r="B150" t="s">
        <v>291</v>
      </c>
      <c r="C150" t="s">
        <v>31</v>
      </c>
      <c r="D150" t="s">
        <v>1900</v>
      </c>
      <c r="E150">
        <v>350</v>
      </c>
      <c r="H150">
        <v>54479.29</v>
      </c>
      <c r="I150" t="s">
        <v>506</v>
      </c>
    </row>
    <row r="151" spans="1:9" x14ac:dyDescent="0.3">
      <c r="A151" t="s">
        <v>1941</v>
      </c>
      <c r="B151" t="s">
        <v>291</v>
      </c>
      <c r="C151" t="s">
        <v>1946</v>
      </c>
      <c r="D151" t="s">
        <v>1905</v>
      </c>
      <c r="F151">
        <v>462.45</v>
      </c>
      <c r="H151">
        <v>54016.84</v>
      </c>
      <c r="I151" t="s">
        <v>1822</v>
      </c>
    </row>
    <row r="152" spans="1:9" x14ac:dyDescent="0.3">
      <c r="A152" t="s">
        <v>1941</v>
      </c>
      <c r="B152" t="s">
        <v>291</v>
      </c>
      <c r="C152" t="s">
        <v>1947</v>
      </c>
      <c r="D152" t="s">
        <v>1927</v>
      </c>
      <c r="F152">
        <v>350</v>
      </c>
      <c r="H152">
        <v>53666.84</v>
      </c>
      <c r="I152" t="s">
        <v>1832</v>
      </c>
    </row>
    <row r="153" spans="1:9" x14ac:dyDescent="0.3">
      <c r="A153" t="s">
        <v>1941</v>
      </c>
      <c r="B153" t="s">
        <v>292</v>
      </c>
      <c r="C153" t="s">
        <v>59</v>
      </c>
      <c r="D153" t="s">
        <v>1900</v>
      </c>
      <c r="E153">
        <v>200</v>
      </c>
      <c r="H153">
        <v>53866.84</v>
      </c>
      <c r="I153" t="s">
        <v>1943</v>
      </c>
    </row>
    <row r="154" spans="1:9" x14ac:dyDescent="0.3">
      <c r="A154" t="s">
        <v>1941</v>
      </c>
      <c r="B154" t="s">
        <v>292</v>
      </c>
      <c r="C154" t="s">
        <v>60</v>
      </c>
      <c r="D154" t="s">
        <v>1900</v>
      </c>
      <c r="E154">
        <v>170</v>
      </c>
      <c r="H154">
        <v>54036.84</v>
      </c>
      <c r="I154" t="s">
        <v>506</v>
      </c>
    </row>
    <row r="155" spans="1:9" x14ac:dyDescent="0.3">
      <c r="A155" t="s">
        <v>1941</v>
      </c>
      <c r="B155" t="s">
        <v>313</v>
      </c>
      <c r="C155" t="s">
        <v>71</v>
      </c>
      <c r="D155" t="s">
        <v>1900</v>
      </c>
      <c r="E155">
        <v>200</v>
      </c>
      <c r="H155">
        <v>54236.84</v>
      </c>
      <c r="I155" t="s">
        <v>1943</v>
      </c>
    </row>
    <row r="156" spans="1:9" x14ac:dyDescent="0.3">
      <c r="A156" t="s">
        <v>1941</v>
      </c>
      <c r="B156" t="s">
        <v>313</v>
      </c>
      <c r="C156" t="s">
        <v>314</v>
      </c>
      <c r="D156" t="s">
        <v>1900</v>
      </c>
      <c r="E156">
        <v>200</v>
      </c>
      <c r="H156">
        <v>54436.84</v>
      </c>
      <c r="I156" t="s">
        <v>1948</v>
      </c>
    </row>
    <row r="157" spans="1:9" x14ac:dyDescent="0.3">
      <c r="A157" t="s">
        <v>1941</v>
      </c>
      <c r="B157" t="s">
        <v>293</v>
      </c>
      <c r="C157" t="s">
        <v>157</v>
      </c>
      <c r="D157" t="s">
        <v>1900</v>
      </c>
      <c r="E157">
        <v>350</v>
      </c>
      <c r="H157">
        <v>54786.84</v>
      </c>
      <c r="I157" t="s">
        <v>92</v>
      </c>
    </row>
    <row r="158" spans="1:9" x14ac:dyDescent="0.3">
      <c r="A158" t="s">
        <v>1941</v>
      </c>
      <c r="B158" t="s">
        <v>294</v>
      </c>
      <c r="C158" t="s">
        <v>73</v>
      </c>
      <c r="D158" t="s">
        <v>1900</v>
      </c>
      <c r="E158">
        <v>363</v>
      </c>
      <c r="H158">
        <v>55149.84</v>
      </c>
      <c r="I158" t="s">
        <v>1943</v>
      </c>
    </row>
    <row r="159" spans="1:9" x14ac:dyDescent="0.3">
      <c r="A159" t="s">
        <v>1941</v>
      </c>
      <c r="B159" t="s">
        <v>294</v>
      </c>
      <c r="C159" t="s">
        <v>295</v>
      </c>
      <c r="D159" t="s">
        <v>1949</v>
      </c>
      <c r="E159">
        <v>1600</v>
      </c>
      <c r="G159">
        <v>22.4</v>
      </c>
      <c r="H159">
        <v>56727.44</v>
      </c>
      <c r="I159" t="s">
        <v>506</v>
      </c>
    </row>
    <row r="160" spans="1:9" x14ac:dyDescent="0.3">
      <c r="A160" t="s">
        <v>1941</v>
      </c>
      <c r="B160" t="s">
        <v>294</v>
      </c>
      <c r="C160" t="s">
        <v>54</v>
      </c>
      <c r="D160" t="s">
        <v>1903</v>
      </c>
      <c r="E160">
        <v>200</v>
      </c>
      <c r="H160">
        <v>56927.44</v>
      </c>
      <c r="I160" t="s">
        <v>506</v>
      </c>
    </row>
    <row r="161" spans="1:9" x14ac:dyDescent="0.3">
      <c r="A161" t="s">
        <v>1941</v>
      </c>
      <c r="B161" t="s">
        <v>1950</v>
      </c>
      <c r="C161" t="s">
        <v>1890</v>
      </c>
      <c r="D161" t="s">
        <v>1910</v>
      </c>
      <c r="F161">
        <v>16818.060000000001</v>
      </c>
      <c r="G161">
        <v>2</v>
      </c>
      <c r="H161">
        <v>40107.379999999997</v>
      </c>
      <c r="I161" t="s">
        <v>1951</v>
      </c>
    </row>
    <row r="162" spans="1:9" x14ac:dyDescent="0.3">
      <c r="A162" t="s">
        <v>1941</v>
      </c>
      <c r="B162" t="s">
        <v>1950</v>
      </c>
      <c r="C162" t="s">
        <v>1952</v>
      </c>
      <c r="D162" t="s">
        <v>1910</v>
      </c>
      <c r="F162">
        <v>500</v>
      </c>
      <c r="G162">
        <v>2</v>
      </c>
      <c r="H162">
        <v>39605.379999999997</v>
      </c>
      <c r="I162" t="s">
        <v>1953</v>
      </c>
    </row>
    <row r="163" spans="1:9" x14ac:dyDescent="0.3">
      <c r="A163" t="s">
        <v>1941</v>
      </c>
      <c r="B163" t="s">
        <v>1954</v>
      </c>
      <c r="C163" t="s">
        <v>75</v>
      </c>
      <c r="D163" t="s">
        <v>1900</v>
      </c>
      <c r="E163">
        <v>500</v>
      </c>
      <c r="H163">
        <v>40105.379999999997</v>
      </c>
      <c r="I163" t="s">
        <v>1943</v>
      </c>
    </row>
    <row r="164" spans="1:9" x14ac:dyDescent="0.3">
      <c r="A164" t="s">
        <v>1941</v>
      </c>
      <c r="B164" t="s">
        <v>1955</v>
      </c>
      <c r="C164" t="s">
        <v>1925</v>
      </c>
      <c r="D164" t="s">
        <v>1900</v>
      </c>
      <c r="E164">
        <v>973</v>
      </c>
      <c r="H164">
        <v>41078.379999999997</v>
      </c>
      <c r="I164" t="s">
        <v>1943</v>
      </c>
    </row>
    <row r="165" spans="1:9" x14ac:dyDescent="0.3">
      <c r="A165" t="s">
        <v>1941</v>
      </c>
      <c r="B165" t="s">
        <v>1955</v>
      </c>
      <c r="C165" t="s">
        <v>23</v>
      </c>
      <c r="D165" t="s">
        <v>1900</v>
      </c>
      <c r="E165">
        <v>170</v>
      </c>
      <c r="H165">
        <v>41248.379999999997</v>
      </c>
      <c r="I165" t="s">
        <v>1956</v>
      </c>
    </row>
    <row r="166" spans="1:9" x14ac:dyDescent="0.3">
      <c r="A166" t="s">
        <v>1941</v>
      </c>
      <c r="B166" t="s">
        <v>1957</v>
      </c>
      <c r="C166" t="s">
        <v>1830</v>
      </c>
      <c r="D166" t="s">
        <v>1927</v>
      </c>
      <c r="F166">
        <v>170</v>
      </c>
      <c r="H166">
        <v>41078.379999999997</v>
      </c>
      <c r="I166" t="s">
        <v>1832</v>
      </c>
    </row>
    <row r="167" spans="1:9" x14ac:dyDescent="0.3">
      <c r="A167" t="s">
        <v>1941</v>
      </c>
      <c r="B167" t="s">
        <v>1958</v>
      </c>
      <c r="C167" t="s">
        <v>1959</v>
      </c>
      <c r="D167" t="s">
        <v>1900</v>
      </c>
      <c r="E167">
        <v>663</v>
      </c>
      <c r="H167">
        <v>41741.379999999997</v>
      </c>
      <c r="I167" t="s">
        <v>1943</v>
      </c>
    </row>
    <row r="168" spans="1:9" x14ac:dyDescent="0.3">
      <c r="A168" t="s">
        <v>1941</v>
      </c>
      <c r="B168" t="s">
        <v>1960</v>
      </c>
      <c r="C168" t="s">
        <v>1931</v>
      </c>
      <c r="D168" t="s">
        <v>1900</v>
      </c>
      <c r="E168">
        <v>610</v>
      </c>
      <c r="H168">
        <v>42351.38</v>
      </c>
      <c r="I168" t="s">
        <v>1943</v>
      </c>
    </row>
    <row r="169" spans="1:9" x14ac:dyDescent="0.3">
      <c r="A169" t="s">
        <v>1941</v>
      </c>
      <c r="B169" t="s">
        <v>1961</v>
      </c>
      <c r="C169" t="s">
        <v>1962</v>
      </c>
      <c r="D169" t="s">
        <v>1900</v>
      </c>
      <c r="E169">
        <v>170</v>
      </c>
      <c r="H169">
        <v>42521.38</v>
      </c>
      <c r="I169" t="s">
        <v>1943</v>
      </c>
    </row>
    <row r="170" spans="1:9" x14ac:dyDescent="0.3">
      <c r="A170" t="s">
        <v>1941</v>
      </c>
      <c r="B170" t="s">
        <v>297</v>
      </c>
      <c r="C170" t="s">
        <v>119</v>
      </c>
      <c r="D170" t="s">
        <v>1900</v>
      </c>
      <c r="E170">
        <v>700</v>
      </c>
      <c r="H170">
        <v>43221.38</v>
      </c>
      <c r="I170" t="s">
        <v>1943</v>
      </c>
    </row>
    <row r="171" spans="1:9" x14ac:dyDescent="0.3">
      <c r="A171" t="s">
        <v>1941</v>
      </c>
      <c r="B171" t="s">
        <v>297</v>
      </c>
      <c r="C171" t="s">
        <v>1869</v>
      </c>
      <c r="D171" t="s">
        <v>1910</v>
      </c>
      <c r="F171">
        <v>4750</v>
      </c>
      <c r="G171">
        <v>2</v>
      </c>
      <c r="H171">
        <v>38469.379999999997</v>
      </c>
      <c r="I171" t="s">
        <v>1963</v>
      </c>
    </row>
    <row r="172" spans="1:9" x14ac:dyDescent="0.3">
      <c r="A172" t="s">
        <v>1941</v>
      </c>
      <c r="B172" t="s">
        <v>297</v>
      </c>
      <c r="C172" t="s">
        <v>1866</v>
      </c>
      <c r="D172" t="s">
        <v>1910</v>
      </c>
      <c r="F172">
        <v>12500</v>
      </c>
      <c r="G172">
        <v>2</v>
      </c>
      <c r="H172">
        <v>25967.38</v>
      </c>
      <c r="I172" t="s">
        <v>1964</v>
      </c>
    </row>
    <row r="173" spans="1:9" x14ac:dyDescent="0.3">
      <c r="A173" t="s">
        <v>1941</v>
      </c>
      <c r="B173" t="s">
        <v>297</v>
      </c>
      <c r="C173" t="s">
        <v>143</v>
      </c>
      <c r="D173" t="s">
        <v>1900</v>
      </c>
      <c r="E173">
        <v>200</v>
      </c>
      <c r="H173">
        <v>26167.38</v>
      </c>
      <c r="I173" t="s">
        <v>506</v>
      </c>
    </row>
    <row r="174" spans="1:9" x14ac:dyDescent="0.3">
      <c r="A174" t="s">
        <v>1941</v>
      </c>
      <c r="B174" t="s">
        <v>297</v>
      </c>
      <c r="C174" t="s">
        <v>158</v>
      </c>
      <c r="D174" t="s">
        <v>1900</v>
      </c>
      <c r="E174">
        <v>300</v>
      </c>
      <c r="H174">
        <v>26467.38</v>
      </c>
      <c r="I174" t="s">
        <v>506</v>
      </c>
    </row>
    <row r="175" spans="1:9" x14ac:dyDescent="0.3">
      <c r="A175" t="s">
        <v>1941</v>
      </c>
      <c r="B175" t="s">
        <v>298</v>
      </c>
      <c r="C175" t="s">
        <v>165</v>
      </c>
      <c r="D175" t="s">
        <v>1900</v>
      </c>
      <c r="E175">
        <v>1550</v>
      </c>
      <c r="H175">
        <v>28017.38</v>
      </c>
      <c r="I175" t="s">
        <v>1943</v>
      </c>
    </row>
    <row r="176" spans="1:9" x14ac:dyDescent="0.3">
      <c r="A176" t="s">
        <v>1941</v>
      </c>
      <c r="B176" t="s">
        <v>298</v>
      </c>
      <c r="C176" t="s">
        <v>63</v>
      </c>
      <c r="D176" t="s">
        <v>1900</v>
      </c>
      <c r="E176">
        <v>170</v>
      </c>
      <c r="H176">
        <v>28187.38</v>
      </c>
      <c r="I176" t="s">
        <v>506</v>
      </c>
    </row>
    <row r="177" spans="1:9" x14ac:dyDescent="0.3">
      <c r="A177" t="s">
        <v>1941</v>
      </c>
      <c r="B177" t="s">
        <v>298</v>
      </c>
      <c r="C177" t="s">
        <v>166</v>
      </c>
      <c r="D177" t="s">
        <v>1900</v>
      </c>
      <c r="E177">
        <v>350</v>
      </c>
      <c r="H177">
        <v>28537.38</v>
      </c>
      <c r="I177" t="s">
        <v>506</v>
      </c>
    </row>
    <row r="178" spans="1:9" x14ac:dyDescent="0.3">
      <c r="A178" t="s">
        <v>1941</v>
      </c>
      <c r="B178" t="s">
        <v>298</v>
      </c>
      <c r="C178" t="s">
        <v>221</v>
      </c>
      <c r="D178" t="s">
        <v>1900</v>
      </c>
      <c r="E178">
        <v>300</v>
      </c>
      <c r="H178">
        <v>28837.38</v>
      </c>
      <c r="I178" t="s">
        <v>506</v>
      </c>
    </row>
    <row r="179" spans="1:9" x14ac:dyDescent="0.3">
      <c r="A179" t="s">
        <v>1941</v>
      </c>
      <c r="B179" t="s">
        <v>299</v>
      </c>
      <c r="C179" t="s">
        <v>1965</v>
      </c>
      <c r="D179" t="s">
        <v>1900</v>
      </c>
      <c r="E179">
        <v>350</v>
      </c>
      <c r="H179">
        <v>29187.38</v>
      </c>
      <c r="I179" t="s">
        <v>1943</v>
      </c>
    </row>
    <row r="180" spans="1:9" x14ac:dyDescent="0.3">
      <c r="A180" t="s">
        <v>1941</v>
      </c>
      <c r="B180" t="s">
        <v>299</v>
      </c>
      <c r="C180" t="s">
        <v>17</v>
      </c>
      <c r="D180" t="s">
        <v>1900</v>
      </c>
      <c r="E180">
        <v>300</v>
      </c>
      <c r="H180">
        <v>29487.38</v>
      </c>
      <c r="I180" t="s">
        <v>506</v>
      </c>
    </row>
    <row r="181" spans="1:9" x14ac:dyDescent="0.3">
      <c r="A181" t="s">
        <v>1941</v>
      </c>
      <c r="B181" t="s">
        <v>299</v>
      </c>
      <c r="C181" t="s">
        <v>300</v>
      </c>
      <c r="D181" t="s">
        <v>1900</v>
      </c>
      <c r="E181">
        <v>150</v>
      </c>
      <c r="H181">
        <v>29637.38</v>
      </c>
      <c r="I181" t="s">
        <v>506</v>
      </c>
    </row>
    <row r="182" spans="1:9" x14ac:dyDescent="0.3">
      <c r="A182" t="s">
        <v>1941</v>
      </c>
      <c r="B182" t="s">
        <v>301</v>
      </c>
      <c r="C182" t="s">
        <v>1966</v>
      </c>
      <c r="D182" t="s">
        <v>1900</v>
      </c>
      <c r="E182">
        <v>1433</v>
      </c>
      <c r="H182">
        <v>31070.38</v>
      </c>
      <c r="I182" t="s">
        <v>1943</v>
      </c>
    </row>
    <row r="183" spans="1:9" x14ac:dyDescent="0.3">
      <c r="A183" t="s">
        <v>1941</v>
      </c>
      <c r="B183" t="s">
        <v>301</v>
      </c>
      <c r="C183" t="s">
        <v>49</v>
      </c>
      <c r="D183" t="s">
        <v>1900</v>
      </c>
      <c r="E183">
        <v>300</v>
      </c>
      <c r="H183">
        <v>31370.38</v>
      </c>
      <c r="I183" t="s">
        <v>506</v>
      </c>
    </row>
    <row r="184" spans="1:9" x14ac:dyDescent="0.3">
      <c r="A184" t="s">
        <v>1941</v>
      </c>
      <c r="B184" t="s">
        <v>301</v>
      </c>
      <c r="C184" t="s">
        <v>302</v>
      </c>
      <c r="D184" t="s">
        <v>1914</v>
      </c>
      <c r="E184">
        <v>350</v>
      </c>
      <c r="H184">
        <v>31720.38</v>
      </c>
      <c r="I184" t="s">
        <v>506</v>
      </c>
    </row>
    <row r="185" spans="1:9" x14ac:dyDescent="0.3">
      <c r="A185" t="s">
        <v>1941</v>
      </c>
      <c r="B185" t="s">
        <v>301</v>
      </c>
      <c r="C185" t="s">
        <v>314</v>
      </c>
      <c r="D185" t="s">
        <v>1900</v>
      </c>
      <c r="E185">
        <v>200</v>
      </c>
      <c r="H185">
        <v>31920.38</v>
      </c>
      <c r="I185" t="s">
        <v>1948</v>
      </c>
    </row>
    <row r="186" spans="1:9" x14ac:dyDescent="0.3">
      <c r="A186" t="s">
        <v>1941</v>
      </c>
      <c r="B186" t="s">
        <v>305</v>
      </c>
      <c r="C186" t="s">
        <v>306</v>
      </c>
      <c r="D186" t="s">
        <v>1900</v>
      </c>
      <c r="E186">
        <v>500</v>
      </c>
      <c r="H186">
        <v>32420.38</v>
      </c>
      <c r="I186" t="s">
        <v>92</v>
      </c>
    </row>
    <row r="187" spans="1:9" x14ac:dyDescent="0.3">
      <c r="A187" t="s">
        <v>1941</v>
      </c>
      <c r="B187" t="s">
        <v>305</v>
      </c>
      <c r="C187" t="s">
        <v>176</v>
      </c>
      <c r="D187" t="s">
        <v>1900</v>
      </c>
      <c r="E187">
        <v>350</v>
      </c>
      <c r="H187">
        <v>32770.379999999997</v>
      </c>
      <c r="I187" t="s">
        <v>506</v>
      </c>
    </row>
    <row r="188" spans="1:9" x14ac:dyDescent="0.3">
      <c r="A188" t="s">
        <v>1941</v>
      </c>
      <c r="B188" t="s">
        <v>305</v>
      </c>
      <c r="C188" t="s">
        <v>307</v>
      </c>
      <c r="D188" t="s">
        <v>1949</v>
      </c>
      <c r="E188">
        <v>510</v>
      </c>
      <c r="G188">
        <v>7.14</v>
      </c>
      <c r="H188">
        <v>33273.24</v>
      </c>
      <c r="I188" t="s">
        <v>92</v>
      </c>
    </row>
    <row r="189" spans="1:9" x14ac:dyDescent="0.3">
      <c r="A189" t="s">
        <v>1941</v>
      </c>
      <c r="B189" t="s">
        <v>305</v>
      </c>
      <c r="C189" t="s">
        <v>319</v>
      </c>
      <c r="D189" t="s">
        <v>1900</v>
      </c>
      <c r="E189">
        <v>500</v>
      </c>
      <c r="H189">
        <v>33773.24</v>
      </c>
      <c r="I189" t="s">
        <v>1948</v>
      </c>
    </row>
    <row r="190" spans="1:9" x14ac:dyDescent="0.3">
      <c r="A190" t="s">
        <v>1941</v>
      </c>
      <c r="B190" t="s">
        <v>305</v>
      </c>
      <c r="C190" t="s">
        <v>308</v>
      </c>
      <c r="D190" t="s">
        <v>1935</v>
      </c>
      <c r="E190">
        <v>500</v>
      </c>
      <c r="H190">
        <v>34273.24</v>
      </c>
      <c r="I190" t="s">
        <v>92</v>
      </c>
    </row>
    <row r="191" spans="1:9" x14ac:dyDescent="0.3">
      <c r="A191" t="s">
        <v>1941</v>
      </c>
      <c r="B191" t="s">
        <v>305</v>
      </c>
      <c r="C191" t="s">
        <v>217</v>
      </c>
      <c r="D191" t="s">
        <v>1900</v>
      </c>
      <c r="E191">
        <v>170</v>
      </c>
      <c r="H191">
        <v>34443.24</v>
      </c>
      <c r="I191" t="s">
        <v>506</v>
      </c>
    </row>
    <row r="192" spans="1:9" x14ac:dyDescent="0.3">
      <c r="A192" t="s">
        <v>1941</v>
      </c>
      <c r="B192" t="s">
        <v>309</v>
      </c>
      <c r="C192" t="s">
        <v>310</v>
      </c>
      <c r="D192" t="s">
        <v>1900</v>
      </c>
      <c r="E192">
        <v>500</v>
      </c>
      <c r="H192">
        <v>34943.24</v>
      </c>
      <c r="I192" t="s">
        <v>1967</v>
      </c>
    </row>
    <row r="193" spans="1:9" x14ac:dyDescent="0.3">
      <c r="A193" t="s">
        <v>1941</v>
      </c>
      <c r="B193" t="s">
        <v>309</v>
      </c>
      <c r="C193" t="s">
        <v>213</v>
      </c>
      <c r="D193" t="s">
        <v>1903</v>
      </c>
      <c r="E193">
        <v>400</v>
      </c>
      <c r="H193">
        <v>35343.24</v>
      </c>
      <c r="I193" t="s">
        <v>506</v>
      </c>
    </row>
    <row r="194" spans="1:9" x14ac:dyDescent="0.3">
      <c r="A194" t="s">
        <v>1941</v>
      </c>
      <c r="B194" t="s">
        <v>1968</v>
      </c>
      <c r="C194" t="s">
        <v>1895</v>
      </c>
      <c r="D194" t="s">
        <v>1895</v>
      </c>
      <c r="F194">
        <v>50</v>
      </c>
      <c r="H194">
        <v>35293.24</v>
      </c>
      <c r="I194" t="s">
        <v>1822</v>
      </c>
    </row>
    <row r="195" spans="1:9" x14ac:dyDescent="0.3">
      <c r="A195" s="275" t="s">
        <v>1969</v>
      </c>
      <c r="E195" s="275">
        <v>29945</v>
      </c>
      <c r="F195" s="275">
        <v>36212.050000000003</v>
      </c>
      <c r="G195" s="275">
        <v>38.54</v>
      </c>
    </row>
  </sheetData>
  <mergeCells count="5">
    <mergeCell ref="A89:D89"/>
    <mergeCell ref="A141:D141"/>
    <mergeCell ref="A1:M1"/>
    <mergeCell ref="A3:M3"/>
    <mergeCell ref="A91:M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0"/>
  <sheetViews>
    <sheetView zoomScaleNormal="100" workbookViewId="0">
      <pane ySplit="1" topLeftCell="A109" activePane="bottomLeft" state="frozen"/>
      <selection pane="bottomLeft" activeCell="B130" sqref="B130"/>
    </sheetView>
  </sheetViews>
  <sheetFormatPr defaultColWidth="8.6640625" defaultRowHeight="14.4" x14ac:dyDescent="0.3"/>
  <cols>
    <col min="1" max="1" width="12" customWidth="1"/>
    <col min="2" max="2" width="36" customWidth="1"/>
    <col min="3" max="3" width="12" customWidth="1"/>
    <col min="4" max="4" width="22" customWidth="1"/>
    <col min="5" max="5" width="14" customWidth="1"/>
    <col min="6" max="6" width="12" customWidth="1"/>
    <col min="7" max="7" width="32" customWidth="1"/>
    <col min="8" max="8" width="8" customWidth="1"/>
    <col min="9" max="9" width="24" customWidth="1"/>
    <col min="10" max="10" width="8" customWidth="1"/>
    <col min="11" max="11" width="36" customWidth="1"/>
  </cols>
  <sheetData>
    <row r="1" spans="1:11" x14ac:dyDescent="0.3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</row>
    <row r="2" spans="1:11" x14ac:dyDescent="0.3">
      <c r="A2" s="63" t="s">
        <v>11</v>
      </c>
      <c r="B2" s="64" t="s">
        <v>12</v>
      </c>
      <c r="C2" s="64">
        <v>11103</v>
      </c>
      <c r="D2" s="64" t="s">
        <v>13</v>
      </c>
      <c r="E2" s="64" t="s">
        <v>14</v>
      </c>
      <c r="F2" s="65" t="s">
        <v>15</v>
      </c>
      <c r="G2" s="64" t="s">
        <v>16</v>
      </c>
      <c r="H2" s="64"/>
      <c r="I2" s="64"/>
      <c r="J2" s="64"/>
      <c r="K2" s="64"/>
    </row>
    <row r="3" spans="1:11" x14ac:dyDescent="0.3">
      <c r="A3" s="61" t="s">
        <v>11</v>
      </c>
      <c r="B3" s="62" t="s">
        <v>17</v>
      </c>
      <c r="C3" s="62">
        <v>300</v>
      </c>
      <c r="D3" s="62" t="s">
        <v>18</v>
      </c>
      <c r="E3" s="62" t="s">
        <v>19</v>
      </c>
      <c r="F3" s="65" t="s">
        <v>15</v>
      </c>
      <c r="G3" s="62" t="s">
        <v>20</v>
      </c>
      <c r="H3" s="62">
        <v>411</v>
      </c>
      <c r="I3" s="62" t="s">
        <v>21</v>
      </c>
      <c r="J3" s="62" t="s">
        <v>22</v>
      </c>
      <c r="K3" s="62"/>
    </row>
    <row r="4" spans="1:11" x14ac:dyDescent="0.3">
      <c r="A4" s="63" t="s">
        <v>11</v>
      </c>
      <c r="B4" s="64" t="s">
        <v>23</v>
      </c>
      <c r="C4" s="64">
        <v>170</v>
      </c>
      <c r="D4" s="64" t="s">
        <v>18</v>
      </c>
      <c r="E4" s="64" t="s">
        <v>19</v>
      </c>
      <c r="F4" s="65" t="s">
        <v>15</v>
      </c>
      <c r="G4" s="64" t="s">
        <v>24</v>
      </c>
      <c r="H4" s="64">
        <v>341</v>
      </c>
      <c r="I4" s="64" t="s">
        <v>25</v>
      </c>
      <c r="J4" s="64" t="s">
        <v>26</v>
      </c>
      <c r="K4" s="64"/>
    </row>
    <row r="5" spans="1:11" x14ac:dyDescent="0.3">
      <c r="A5" s="61" t="s">
        <v>11</v>
      </c>
      <c r="B5" s="62" t="s">
        <v>27</v>
      </c>
      <c r="C5" s="62">
        <v>200</v>
      </c>
      <c r="D5" s="62" t="s">
        <v>18</v>
      </c>
      <c r="E5" s="62" t="s">
        <v>19</v>
      </c>
      <c r="F5" s="65" t="s">
        <v>15</v>
      </c>
      <c r="G5" s="62" t="s">
        <v>28</v>
      </c>
      <c r="H5" s="62">
        <v>243</v>
      </c>
      <c r="I5" s="62" t="s">
        <v>29</v>
      </c>
      <c r="J5" s="62" t="s">
        <v>30</v>
      </c>
      <c r="K5" s="62"/>
    </row>
    <row r="6" spans="1:11" x14ac:dyDescent="0.3">
      <c r="A6" s="63" t="s">
        <v>11</v>
      </c>
      <c r="B6" s="64" t="s">
        <v>31</v>
      </c>
      <c r="C6" s="64">
        <v>350</v>
      </c>
      <c r="D6" s="64" t="s">
        <v>18</v>
      </c>
      <c r="E6" s="64" t="s">
        <v>32</v>
      </c>
      <c r="F6" s="65" t="s">
        <v>15</v>
      </c>
      <c r="G6" s="64" t="s">
        <v>33</v>
      </c>
      <c r="H6" s="64">
        <v>29</v>
      </c>
      <c r="I6" s="64" t="s">
        <v>34</v>
      </c>
      <c r="J6" s="64" t="s">
        <v>35</v>
      </c>
      <c r="K6" s="64" t="s">
        <v>36</v>
      </c>
    </row>
    <row r="7" spans="1:11" x14ac:dyDescent="0.3">
      <c r="A7" s="61" t="s">
        <v>11</v>
      </c>
      <c r="B7" s="62" t="s">
        <v>37</v>
      </c>
      <c r="C7" s="62">
        <v>350</v>
      </c>
      <c r="D7" s="62" t="s">
        <v>18</v>
      </c>
      <c r="E7" s="62" t="s">
        <v>32</v>
      </c>
      <c r="F7" s="65" t="s">
        <v>15</v>
      </c>
      <c r="G7" s="62" t="s">
        <v>38</v>
      </c>
      <c r="H7" s="62">
        <v>106</v>
      </c>
      <c r="I7" s="62" t="s">
        <v>39</v>
      </c>
      <c r="J7" s="62" t="s">
        <v>40</v>
      </c>
      <c r="K7" s="62" t="s">
        <v>41</v>
      </c>
    </row>
    <row r="8" spans="1:11" x14ac:dyDescent="0.3">
      <c r="A8" s="63" t="s">
        <v>42</v>
      </c>
      <c r="B8" s="64" t="s">
        <v>43</v>
      </c>
      <c r="C8" s="64">
        <v>800</v>
      </c>
      <c r="D8" s="64" t="s">
        <v>13</v>
      </c>
      <c r="E8" s="64" t="s">
        <v>14</v>
      </c>
      <c r="F8" s="65" t="s">
        <v>15</v>
      </c>
      <c r="G8" s="64" t="s">
        <v>16</v>
      </c>
      <c r="H8" s="64"/>
      <c r="I8" s="64"/>
      <c r="J8" s="64"/>
      <c r="K8" s="64"/>
    </row>
    <row r="9" spans="1:11" x14ac:dyDescent="0.3">
      <c r="A9" s="61" t="s">
        <v>42</v>
      </c>
      <c r="B9" s="62" t="s">
        <v>44</v>
      </c>
      <c r="C9" s="62">
        <v>580</v>
      </c>
      <c r="D9" s="62" t="s">
        <v>18</v>
      </c>
      <c r="E9" s="62" t="s">
        <v>45</v>
      </c>
      <c r="F9" s="65" t="s">
        <v>15</v>
      </c>
      <c r="G9" s="62" t="s">
        <v>46</v>
      </c>
      <c r="H9" s="62">
        <v>494</v>
      </c>
      <c r="I9" s="62" t="s">
        <v>47</v>
      </c>
      <c r="J9" s="62" t="s">
        <v>48</v>
      </c>
      <c r="K9" s="62"/>
    </row>
    <row r="10" spans="1:11" x14ac:dyDescent="0.3">
      <c r="A10" s="63" t="s">
        <v>42</v>
      </c>
      <c r="B10" s="64" t="s">
        <v>49</v>
      </c>
      <c r="C10" s="64">
        <v>300</v>
      </c>
      <c r="D10" s="64" t="s">
        <v>18</v>
      </c>
      <c r="E10" s="64" t="s">
        <v>50</v>
      </c>
      <c r="F10" s="65" t="s">
        <v>15</v>
      </c>
      <c r="G10" s="64" t="s">
        <v>51</v>
      </c>
      <c r="H10" s="64">
        <v>433</v>
      </c>
      <c r="I10" s="64" t="s">
        <v>47</v>
      </c>
      <c r="J10" s="64" t="s">
        <v>52</v>
      </c>
      <c r="K10" s="64"/>
    </row>
    <row r="11" spans="1:11" x14ac:dyDescent="0.3">
      <c r="A11" s="61" t="s">
        <v>53</v>
      </c>
      <c r="B11" s="62" t="s">
        <v>54</v>
      </c>
      <c r="C11" s="62">
        <v>200</v>
      </c>
      <c r="D11" s="62" t="s">
        <v>18</v>
      </c>
      <c r="E11" s="62" t="s">
        <v>50</v>
      </c>
      <c r="F11" s="65" t="s">
        <v>15</v>
      </c>
      <c r="G11" s="62" t="s">
        <v>55</v>
      </c>
      <c r="H11" s="62">
        <v>485</v>
      </c>
      <c r="I11" s="62" t="s">
        <v>56</v>
      </c>
      <c r="J11" s="62" t="s">
        <v>57</v>
      </c>
      <c r="K11" s="62"/>
    </row>
    <row r="12" spans="1:11" x14ac:dyDescent="0.3">
      <c r="A12" s="63" t="s">
        <v>58</v>
      </c>
      <c r="B12" s="64" t="s">
        <v>59</v>
      </c>
      <c r="C12" s="64">
        <v>200</v>
      </c>
      <c r="D12" s="64" t="s">
        <v>13</v>
      </c>
      <c r="E12" s="64" t="s">
        <v>14</v>
      </c>
      <c r="F12" s="65" t="s">
        <v>15</v>
      </c>
      <c r="G12" s="64" t="s">
        <v>16</v>
      </c>
      <c r="H12" s="64"/>
      <c r="I12" s="64"/>
      <c r="J12" s="64"/>
      <c r="K12" s="64"/>
    </row>
    <row r="13" spans="1:11" x14ac:dyDescent="0.3">
      <c r="A13" s="61" t="s">
        <v>58</v>
      </c>
      <c r="B13" s="62" t="s">
        <v>60</v>
      </c>
      <c r="C13" s="62">
        <v>170</v>
      </c>
      <c r="D13" s="62" t="s">
        <v>18</v>
      </c>
      <c r="E13" s="62" t="s">
        <v>45</v>
      </c>
      <c r="F13" s="65" t="s">
        <v>15</v>
      </c>
      <c r="G13" s="62" t="s">
        <v>61</v>
      </c>
      <c r="H13" s="62">
        <v>443</v>
      </c>
      <c r="I13" s="62" t="s">
        <v>47</v>
      </c>
      <c r="J13" s="62" t="s">
        <v>62</v>
      </c>
      <c r="K13" s="62"/>
    </row>
    <row r="14" spans="1:11" x14ac:dyDescent="0.3">
      <c r="A14" s="63" t="s">
        <v>58</v>
      </c>
      <c r="B14" s="64" t="s">
        <v>63</v>
      </c>
      <c r="C14" s="64">
        <v>170</v>
      </c>
      <c r="D14" s="64" t="s">
        <v>18</v>
      </c>
      <c r="E14" s="64" t="s">
        <v>19</v>
      </c>
      <c r="F14" s="65" t="s">
        <v>15</v>
      </c>
      <c r="G14" s="64" t="s">
        <v>64</v>
      </c>
      <c r="H14" s="64">
        <v>335</v>
      </c>
      <c r="I14" s="64" t="s">
        <v>25</v>
      </c>
      <c r="J14" s="64" t="s">
        <v>65</v>
      </c>
      <c r="K14" s="64"/>
    </row>
    <row r="15" spans="1:11" x14ac:dyDescent="0.3">
      <c r="A15" s="61" t="s">
        <v>58</v>
      </c>
      <c r="B15" s="62" t="s">
        <v>66</v>
      </c>
      <c r="C15" s="62">
        <v>200</v>
      </c>
      <c r="D15" s="62" t="s">
        <v>18</v>
      </c>
      <c r="E15" s="62" t="s">
        <v>45</v>
      </c>
      <c r="F15" s="65" t="s">
        <v>15</v>
      </c>
      <c r="G15" s="62" t="s">
        <v>67</v>
      </c>
      <c r="H15" s="62">
        <v>268</v>
      </c>
      <c r="I15" s="62" t="s">
        <v>68</v>
      </c>
      <c r="J15" s="62" t="s">
        <v>69</v>
      </c>
      <c r="K15" s="62"/>
    </row>
    <row r="16" spans="1:11" x14ac:dyDescent="0.3">
      <c r="A16" s="63" t="s">
        <v>70</v>
      </c>
      <c r="B16" s="64" t="s">
        <v>71</v>
      </c>
      <c r="C16" s="64">
        <v>200</v>
      </c>
      <c r="D16" s="64" t="s">
        <v>13</v>
      </c>
      <c r="E16" s="64" t="s">
        <v>14</v>
      </c>
      <c r="F16" s="65" t="s">
        <v>15</v>
      </c>
      <c r="G16" s="64" t="s">
        <v>16</v>
      </c>
      <c r="H16" s="64"/>
      <c r="I16" s="64"/>
      <c r="J16" s="64"/>
      <c r="K16" s="64"/>
    </row>
    <row r="17" spans="1:11" x14ac:dyDescent="0.3">
      <c r="A17" s="61" t="s">
        <v>72</v>
      </c>
      <c r="B17" s="62" t="s">
        <v>73</v>
      </c>
      <c r="C17" s="62">
        <v>363</v>
      </c>
      <c r="D17" s="62" t="s">
        <v>13</v>
      </c>
      <c r="E17" s="62" t="s">
        <v>14</v>
      </c>
      <c r="F17" s="65" t="s">
        <v>15</v>
      </c>
      <c r="G17" s="62" t="s">
        <v>16</v>
      </c>
      <c r="H17" s="62"/>
      <c r="I17" s="62"/>
      <c r="J17" s="62"/>
      <c r="K17" s="62"/>
    </row>
    <row r="18" spans="1:11" x14ac:dyDescent="0.3">
      <c r="A18" s="63" t="s">
        <v>74</v>
      </c>
      <c r="B18" s="64" t="s">
        <v>75</v>
      </c>
      <c r="C18" s="64">
        <v>500</v>
      </c>
      <c r="D18" s="64" t="s">
        <v>13</v>
      </c>
      <c r="E18" s="64" t="s">
        <v>14</v>
      </c>
      <c r="F18" s="65" t="s">
        <v>15</v>
      </c>
      <c r="G18" s="64" t="s">
        <v>16</v>
      </c>
      <c r="H18" s="64"/>
      <c r="I18" s="64"/>
      <c r="J18" s="64"/>
      <c r="K18" s="64"/>
    </row>
    <row r="19" spans="1:11" x14ac:dyDescent="0.3">
      <c r="A19" s="61" t="s">
        <v>76</v>
      </c>
      <c r="B19" s="62" t="s">
        <v>77</v>
      </c>
      <c r="C19" s="62">
        <v>803</v>
      </c>
      <c r="D19" s="62" t="s">
        <v>13</v>
      </c>
      <c r="E19" s="62" t="s">
        <v>14</v>
      </c>
      <c r="F19" s="65" t="s">
        <v>15</v>
      </c>
      <c r="G19" s="62" t="s">
        <v>16</v>
      </c>
      <c r="H19" s="62"/>
      <c r="I19" s="62"/>
      <c r="J19" s="62"/>
      <c r="K19" s="62"/>
    </row>
    <row r="20" spans="1:11" x14ac:dyDescent="0.3">
      <c r="A20" s="63" t="s">
        <v>78</v>
      </c>
      <c r="B20" s="64" t="s">
        <v>79</v>
      </c>
      <c r="C20" s="64">
        <v>363</v>
      </c>
      <c r="D20" s="64" t="s">
        <v>13</v>
      </c>
      <c r="E20" s="64" t="s">
        <v>14</v>
      </c>
      <c r="F20" s="65" t="s">
        <v>15</v>
      </c>
      <c r="G20" s="64" t="s">
        <v>16</v>
      </c>
      <c r="H20" s="64"/>
      <c r="I20" s="64"/>
      <c r="J20" s="64"/>
      <c r="K20" s="64"/>
    </row>
    <row r="21" spans="1:11" x14ac:dyDescent="0.3">
      <c r="A21" s="61" t="s">
        <v>80</v>
      </c>
      <c r="B21" s="62" t="s">
        <v>81</v>
      </c>
      <c r="C21" s="62">
        <v>300</v>
      </c>
      <c r="D21" s="62" t="s">
        <v>13</v>
      </c>
      <c r="E21" s="62" t="s">
        <v>14</v>
      </c>
      <c r="F21" s="65" t="s">
        <v>15</v>
      </c>
      <c r="G21" s="62" t="s">
        <v>16</v>
      </c>
      <c r="H21" s="62"/>
      <c r="I21" s="62"/>
      <c r="J21" s="62"/>
      <c r="K21" s="62"/>
    </row>
    <row r="22" spans="1:11" x14ac:dyDescent="0.3">
      <c r="A22" s="63" t="s">
        <v>82</v>
      </c>
      <c r="B22" s="64" t="s">
        <v>83</v>
      </c>
      <c r="C22" s="64">
        <v>350</v>
      </c>
      <c r="D22" s="64" t="s">
        <v>18</v>
      </c>
      <c r="E22" s="64" t="s">
        <v>84</v>
      </c>
      <c r="F22" s="65" t="s">
        <v>15</v>
      </c>
      <c r="G22" s="64" t="s">
        <v>85</v>
      </c>
      <c r="H22" s="64">
        <v>323</v>
      </c>
      <c r="I22" s="64" t="s">
        <v>86</v>
      </c>
      <c r="J22" s="64" t="s">
        <v>87</v>
      </c>
      <c r="K22" s="64"/>
    </row>
    <row r="23" spans="1:11" x14ac:dyDescent="0.3">
      <c r="A23" s="61" t="s">
        <v>88</v>
      </c>
      <c r="B23" s="62" t="s">
        <v>89</v>
      </c>
      <c r="C23" s="62">
        <v>780</v>
      </c>
      <c r="D23" s="62" t="s">
        <v>13</v>
      </c>
      <c r="E23" s="62" t="s">
        <v>14</v>
      </c>
      <c r="F23" s="65" t="s">
        <v>15</v>
      </c>
      <c r="G23" s="62" t="s">
        <v>16</v>
      </c>
      <c r="H23" s="62"/>
      <c r="I23" s="62"/>
      <c r="J23" s="62"/>
      <c r="K23" s="62"/>
    </row>
    <row r="24" spans="1:11" x14ac:dyDescent="0.3">
      <c r="A24" s="63" t="s">
        <v>88</v>
      </c>
      <c r="B24" s="64" t="s">
        <v>90</v>
      </c>
      <c r="C24" s="64">
        <v>3500</v>
      </c>
      <c r="D24" s="64" t="s">
        <v>18</v>
      </c>
      <c r="E24" s="64" t="s">
        <v>19</v>
      </c>
      <c r="F24" s="65" t="s">
        <v>15</v>
      </c>
      <c r="G24" s="64" t="s">
        <v>28</v>
      </c>
      <c r="H24" s="64">
        <v>243</v>
      </c>
      <c r="I24" s="64" t="s">
        <v>29</v>
      </c>
      <c r="J24" s="64" t="s">
        <v>30</v>
      </c>
      <c r="K24" s="64"/>
    </row>
    <row r="25" spans="1:11" x14ac:dyDescent="0.3">
      <c r="A25" s="61" t="s">
        <v>88</v>
      </c>
      <c r="B25" s="62" t="s">
        <v>91</v>
      </c>
      <c r="C25" s="62">
        <v>600</v>
      </c>
      <c r="D25" s="62" t="s">
        <v>92</v>
      </c>
      <c r="E25" s="62" t="s">
        <v>45</v>
      </c>
      <c r="F25" s="65" t="s">
        <v>15</v>
      </c>
      <c r="G25" s="62" t="s">
        <v>93</v>
      </c>
      <c r="H25" s="62">
        <v>516</v>
      </c>
      <c r="I25" s="62" t="s">
        <v>94</v>
      </c>
      <c r="J25" s="62" t="s">
        <v>95</v>
      </c>
      <c r="K25" s="62"/>
    </row>
    <row r="26" spans="1:11" x14ac:dyDescent="0.3">
      <c r="A26" s="63" t="s">
        <v>96</v>
      </c>
      <c r="B26" s="64" t="s">
        <v>97</v>
      </c>
      <c r="C26" s="64">
        <v>500</v>
      </c>
      <c r="D26" s="64" t="s">
        <v>18</v>
      </c>
      <c r="E26" s="64" t="s">
        <v>45</v>
      </c>
      <c r="F26" s="65" t="s">
        <v>15</v>
      </c>
      <c r="G26" s="64" t="s">
        <v>98</v>
      </c>
      <c r="H26" s="64">
        <v>291</v>
      </c>
      <c r="I26" s="64" t="s">
        <v>25</v>
      </c>
      <c r="J26" s="64" t="s">
        <v>99</v>
      </c>
      <c r="K26" s="64"/>
    </row>
    <row r="27" spans="1:11" x14ac:dyDescent="0.3">
      <c r="A27" s="61" t="s">
        <v>96</v>
      </c>
      <c r="B27" s="62" t="s">
        <v>100</v>
      </c>
      <c r="C27" s="62">
        <v>500</v>
      </c>
      <c r="D27" s="62" t="s">
        <v>101</v>
      </c>
      <c r="E27" s="62" t="s">
        <v>102</v>
      </c>
      <c r="F27" s="65" t="s">
        <v>15</v>
      </c>
      <c r="G27" s="62" t="s">
        <v>100</v>
      </c>
      <c r="H27" s="62"/>
      <c r="I27" s="62"/>
      <c r="J27" s="62"/>
      <c r="K27" s="62"/>
    </row>
    <row r="28" spans="1:11" x14ac:dyDescent="0.3">
      <c r="A28" s="63" t="s">
        <v>96</v>
      </c>
      <c r="B28" s="64" t="s">
        <v>103</v>
      </c>
      <c r="C28" s="64">
        <v>500</v>
      </c>
      <c r="D28" s="64" t="s">
        <v>18</v>
      </c>
      <c r="E28" s="64" t="s">
        <v>19</v>
      </c>
      <c r="F28" s="65" t="s">
        <v>15</v>
      </c>
      <c r="G28" s="64" t="s">
        <v>104</v>
      </c>
      <c r="H28" s="64">
        <v>360</v>
      </c>
      <c r="I28" s="64" t="s">
        <v>105</v>
      </c>
      <c r="J28" s="64" t="s">
        <v>106</v>
      </c>
      <c r="K28" s="64"/>
    </row>
    <row r="29" spans="1:11" x14ac:dyDescent="0.3">
      <c r="A29" s="61" t="s">
        <v>96</v>
      </c>
      <c r="B29" s="62" t="s">
        <v>107</v>
      </c>
      <c r="C29" s="62">
        <v>500</v>
      </c>
      <c r="D29" s="62" t="s">
        <v>92</v>
      </c>
      <c r="E29" s="62" t="s">
        <v>19</v>
      </c>
      <c r="F29" s="65" t="s">
        <v>15</v>
      </c>
      <c r="G29" s="62" t="s">
        <v>108</v>
      </c>
      <c r="H29" s="62">
        <v>112</v>
      </c>
      <c r="I29" s="62" t="s">
        <v>94</v>
      </c>
      <c r="J29" s="62" t="s">
        <v>109</v>
      </c>
      <c r="K29" s="62"/>
    </row>
    <row r="30" spans="1:11" x14ac:dyDescent="0.3">
      <c r="A30" s="63" t="s">
        <v>96</v>
      </c>
      <c r="B30" s="64" t="s">
        <v>110</v>
      </c>
      <c r="C30" s="64">
        <v>6000</v>
      </c>
      <c r="D30" s="64" t="s">
        <v>18</v>
      </c>
      <c r="E30" s="64" t="s">
        <v>50</v>
      </c>
      <c r="F30" s="65" t="s">
        <v>15</v>
      </c>
      <c r="G30" s="64" t="s">
        <v>111</v>
      </c>
      <c r="H30" s="64">
        <v>24</v>
      </c>
      <c r="I30" s="64" t="s">
        <v>86</v>
      </c>
      <c r="J30" s="64" t="s">
        <v>112</v>
      </c>
      <c r="K30" s="64"/>
    </row>
    <row r="31" spans="1:11" x14ac:dyDescent="0.3">
      <c r="A31" s="61" t="s">
        <v>96</v>
      </c>
      <c r="B31" s="62" t="s">
        <v>113</v>
      </c>
      <c r="C31" s="62">
        <v>3500</v>
      </c>
      <c r="D31" s="62" t="s">
        <v>92</v>
      </c>
      <c r="E31" s="62" t="s">
        <v>50</v>
      </c>
      <c r="F31" s="65" t="s">
        <v>15</v>
      </c>
      <c r="G31" s="62" t="s">
        <v>111</v>
      </c>
      <c r="H31" s="62">
        <v>24</v>
      </c>
      <c r="I31" s="62" t="s">
        <v>86</v>
      </c>
      <c r="J31" s="62" t="s">
        <v>112</v>
      </c>
      <c r="K31" s="62"/>
    </row>
    <row r="32" spans="1:11" x14ac:dyDescent="0.3">
      <c r="A32" s="63" t="s">
        <v>96</v>
      </c>
      <c r="B32" s="64" t="s">
        <v>114</v>
      </c>
      <c r="C32" s="64">
        <v>1000</v>
      </c>
      <c r="D32" s="64" t="s">
        <v>101</v>
      </c>
      <c r="E32" s="64" t="s">
        <v>102</v>
      </c>
      <c r="F32" s="65" t="s">
        <v>15</v>
      </c>
      <c r="G32" s="64" t="s">
        <v>114</v>
      </c>
      <c r="H32" s="64"/>
      <c r="I32" s="64"/>
      <c r="J32" s="64"/>
      <c r="K32" s="64"/>
    </row>
    <row r="33" spans="1:11" x14ac:dyDescent="0.3">
      <c r="A33" s="61" t="s">
        <v>115</v>
      </c>
      <c r="B33" s="62" t="s">
        <v>116</v>
      </c>
      <c r="C33" s="62">
        <v>300</v>
      </c>
      <c r="D33" s="62" t="s">
        <v>18</v>
      </c>
      <c r="E33" s="62" t="s">
        <v>45</v>
      </c>
      <c r="F33" s="65" t="s">
        <v>15</v>
      </c>
      <c r="G33" s="62" t="s">
        <v>117</v>
      </c>
      <c r="H33" s="62">
        <v>222</v>
      </c>
      <c r="I33" s="62" t="s">
        <v>29</v>
      </c>
      <c r="J33" s="62" t="s">
        <v>118</v>
      </c>
      <c r="K33" s="62"/>
    </row>
    <row r="34" spans="1:11" x14ac:dyDescent="0.3">
      <c r="A34" s="63" t="s">
        <v>115</v>
      </c>
      <c r="B34" s="64" t="s">
        <v>119</v>
      </c>
      <c r="C34" s="64">
        <v>700</v>
      </c>
      <c r="D34" s="64" t="s">
        <v>13</v>
      </c>
      <c r="E34" s="64" t="s">
        <v>14</v>
      </c>
      <c r="F34" s="65" t="s">
        <v>15</v>
      </c>
      <c r="G34" s="64" t="s">
        <v>16</v>
      </c>
      <c r="H34" s="64"/>
      <c r="I34" s="64"/>
      <c r="J34" s="64"/>
      <c r="K34" s="64"/>
    </row>
    <row r="35" spans="1:11" x14ac:dyDescent="0.3">
      <c r="A35" s="61" t="s">
        <v>115</v>
      </c>
      <c r="B35" s="62" t="s">
        <v>120</v>
      </c>
      <c r="C35" s="62">
        <v>500</v>
      </c>
      <c r="D35" s="62" t="s">
        <v>18</v>
      </c>
      <c r="E35" s="62" t="s">
        <v>45</v>
      </c>
      <c r="F35" s="65" t="s">
        <v>15</v>
      </c>
      <c r="G35" s="62" t="s">
        <v>121</v>
      </c>
      <c r="H35" s="62">
        <v>515</v>
      </c>
      <c r="I35" s="62" t="s">
        <v>94</v>
      </c>
      <c r="J35" s="62" t="s">
        <v>122</v>
      </c>
      <c r="K35" s="62"/>
    </row>
    <row r="36" spans="1:11" x14ac:dyDescent="0.3">
      <c r="A36" s="63" t="s">
        <v>115</v>
      </c>
      <c r="B36" s="64" t="s">
        <v>123</v>
      </c>
      <c r="C36" s="64">
        <v>1500</v>
      </c>
      <c r="D36" s="64" t="s">
        <v>18</v>
      </c>
      <c r="E36" s="64" t="s">
        <v>45</v>
      </c>
      <c r="F36" s="65" t="s">
        <v>15</v>
      </c>
      <c r="G36" s="64" t="s">
        <v>124</v>
      </c>
      <c r="H36" s="64">
        <v>329</v>
      </c>
      <c r="I36" s="64" t="s">
        <v>105</v>
      </c>
      <c r="J36" s="64" t="s">
        <v>125</v>
      </c>
      <c r="K36" s="64"/>
    </row>
    <row r="37" spans="1:11" x14ac:dyDescent="0.3">
      <c r="A37" s="61" t="s">
        <v>115</v>
      </c>
      <c r="B37" s="62" t="s">
        <v>126</v>
      </c>
      <c r="C37" s="62">
        <v>500</v>
      </c>
      <c r="D37" s="62" t="s">
        <v>92</v>
      </c>
      <c r="E37" s="62" t="s">
        <v>84</v>
      </c>
      <c r="F37" s="65" t="s">
        <v>15</v>
      </c>
      <c r="G37" s="62" t="s">
        <v>127</v>
      </c>
      <c r="H37" s="62">
        <v>379</v>
      </c>
      <c r="I37" s="62" t="s">
        <v>105</v>
      </c>
      <c r="J37" s="62" t="s">
        <v>128</v>
      </c>
      <c r="K37" s="62" t="s">
        <v>129</v>
      </c>
    </row>
    <row r="38" spans="1:11" x14ac:dyDescent="0.3">
      <c r="A38" s="63" t="s">
        <v>115</v>
      </c>
      <c r="B38" s="64" t="s">
        <v>130</v>
      </c>
      <c r="C38" s="64">
        <v>1000</v>
      </c>
      <c r="D38" s="64" t="s">
        <v>18</v>
      </c>
      <c r="E38" s="64" t="s">
        <v>45</v>
      </c>
      <c r="F38" s="65" t="s">
        <v>15</v>
      </c>
      <c r="G38" s="64" t="s">
        <v>131</v>
      </c>
      <c r="H38" s="64">
        <v>47</v>
      </c>
      <c r="I38" s="64" t="s">
        <v>132</v>
      </c>
      <c r="J38" s="64" t="s">
        <v>133</v>
      </c>
      <c r="K38" s="64"/>
    </row>
    <row r="39" spans="1:11" x14ac:dyDescent="0.3">
      <c r="A39" s="61" t="s">
        <v>115</v>
      </c>
      <c r="B39" s="62" t="s">
        <v>134</v>
      </c>
      <c r="C39" s="62">
        <v>2500</v>
      </c>
      <c r="D39" s="62" t="s">
        <v>92</v>
      </c>
      <c r="E39" s="62" t="s">
        <v>32</v>
      </c>
      <c r="F39" s="65" t="s">
        <v>15</v>
      </c>
      <c r="G39" s="62" t="s">
        <v>135</v>
      </c>
      <c r="H39" s="62">
        <v>348</v>
      </c>
      <c r="I39" s="62" t="s">
        <v>105</v>
      </c>
      <c r="J39" s="62" t="s">
        <v>136</v>
      </c>
      <c r="K39" s="62"/>
    </row>
    <row r="40" spans="1:11" x14ac:dyDescent="0.3">
      <c r="A40" s="63" t="s">
        <v>115</v>
      </c>
      <c r="B40" s="64" t="s">
        <v>137</v>
      </c>
      <c r="C40" s="64">
        <v>500</v>
      </c>
      <c r="D40" s="64" t="s">
        <v>18</v>
      </c>
      <c r="E40" s="64" t="s">
        <v>45</v>
      </c>
      <c r="F40" s="65" t="s">
        <v>15</v>
      </c>
      <c r="G40" s="64" t="s">
        <v>138</v>
      </c>
      <c r="H40" s="64">
        <v>217</v>
      </c>
      <c r="I40" s="64" t="s">
        <v>139</v>
      </c>
      <c r="J40" s="64" t="s">
        <v>95</v>
      </c>
      <c r="K40" s="64"/>
    </row>
    <row r="41" spans="1:11" x14ac:dyDescent="0.3">
      <c r="A41" s="61" t="s">
        <v>115</v>
      </c>
      <c r="B41" s="62" t="s">
        <v>140</v>
      </c>
      <c r="C41" s="62">
        <v>500</v>
      </c>
      <c r="D41" s="62" t="s">
        <v>18</v>
      </c>
      <c r="E41" s="62" t="s">
        <v>45</v>
      </c>
      <c r="F41" s="65" t="s">
        <v>15</v>
      </c>
      <c r="G41" s="62" t="s">
        <v>141</v>
      </c>
      <c r="H41" s="62">
        <v>353</v>
      </c>
      <c r="I41" s="62" t="s">
        <v>105</v>
      </c>
      <c r="J41" s="62" t="s">
        <v>142</v>
      </c>
      <c r="K41" s="62"/>
    </row>
    <row r="42" spans="1:11" x14ac:dyDescent="0.3">
      <c r="A42" s="63" t="s">
        <v>115</v>
      </c>
      <c r="B42" s="64" t="s">
        <v>143</v>
      </c>
      <c r="C42" s="64">
        <v>200</v>
      </c>
      <c r="D42" s="64" t="s">
        <v>18</v>
      </c>
      <c r="E42" s="64" t="s">
        <v>84</v>
      </c>
      <c r="F42" s="65" t="s">
        <v>15</v>
      </c>
      <c r="G42" s="64" t="s">
        <v>144</v>
      </c>
      <c r="H42" s="64">
        <v>138</v>
      </c>
      <c r="I42" s="64" t="s">
        <v>145</v>
      </c>
      <c r="J42" s="64" t="s">
        <v>146</v>
      </c>
      <c r="K42" s="64" t="s">
        <v>147</v>
      </c>
    </row>
    <row r="43" spans="1:11" x14ac:dyDescent="0.3">
      <c r="A43" s="61" t="s">
        <v>115</v>
      </c>
      <c r="B43" s="62" t="s">
        <v>148</v>
      </c>
      <c r="C43" s="62">
        <v>500</v>
      </c>
      <c r="D43" s="62" t="s">
        <v>18</v>
      </c>
      <c r="E43" s="62" t="s">
        <v>45</v>
      </c>
      <c r="F43" s="65" t="s">
        <v>15</v>
      </c>
      <c r="G43" s="62" t="s">
        <v>149</v>
      </c>
      <c r="H43" s="62">
        <v>381</v>
      </c>
      <c r="I43" s="62" t="s">
        <v>150</v>
      </c>
      <c r="J43" s="62" t="s">
        <v>128</v>
      </c>
      <c r="K43" s="62"/>
    </row>
    <row r="44" spans="1:11" x14ac:dyDescent="0.3">
      <c r="A44" s="63" t="s">
        <v>115</v>
      </c>
      <c r="B44" s="64" t="s">
        <v>151</v>
      </c>
      <c r="C44" s="64">
        <v>500</v>
      </c>
      <c r="D44" s="64" t="s">
        <v>18</v>
      </c>
      <c r="E44" s="64" t="s">
        <v>19</v>
      </c>
      <c r="F44" s="65" t="s">
        <v>15</v>
      </c>
      <c r="G44" s="64" t="s">
        <v>152</v>
      </c>
      <c r="H44" s="64">
        <v>26</v>
      </c>
      <c r="I44" s="64" t="s">
        <v>86</v>
      </c>
      <c r="J44" s="64" t="s">
        <v>153</v>
      </c>
      <c r="K44" s="64"/>
    </row>
    <row r="45" spans="1:11" x14ac:dyDescent="0.3">
      <c r="A45" s="61" t="s">
        <v>115</v>
      </c>
      <c r="B45" s="62" t="s">
        <v>154</v>
      </c>
      <c r="C45" s="62">
        <v>500</v>
      </c>
      <c r="D45" s="62" t="s">
        <v>18</v>
      </c>
      <c r="E45" s="62" t="s">
        <v>19</v>
      </c>
      <c r="F45" s="65" t="s">
        <v>15</v>
      </c>
      <c r="G45" s="62" t="s">
        <v>155</v>
      </c>
      <c r="H45" s="62">
        <v>260</v>
      </c>
      <c r="I45" s="62" t="s">
        <v>29</v>
      </c>
      <c r="J45" s="62" t="s">
        <v>156</v>
      </c>
      <c r="K45" s="62"/>
    </row>
    <row r="46" spans="1:11" x14ac:dyDescent="0.3">
      <c r="A46" s="63" t="s">
        <v>115</v>
      </c>
      <c r="B46" s="64" t="s">
        <v>157</v>
      </c>
      <c r="C46" s="64">
        <v>500</v>
      </c>
      <c r="D46" s="64" t="s">
        <v>18</v>
      </c>
      <c r="E46" s="64" t="s">
        <v>32</v>
      </c>
      <c r="F46" s="65" t="s">
        <v>15</v>
      </c>
      <c r="G46" s="64" t="s">
        <v>85</v>
      </c>
      <c r="H46" s="64">
        <v>323</v>
      </c>
      <c r="I46" s="64" t="s">
        <v>86</v>
      </c>
      <c r="J46" s="64" t="s">
        <v>87</v>
      </c>
      <c r="K46" s="64"/>
    </row>
    <row r="47" spans="1:11" x14ac:dyDescent="0.3">
      <c r="A47" s="61" t="s">
        <v>115</v>
      </c>
      <c r="B47" s="62" t="s">
        <v>158</v>
      </c>
      <c r="C47" s="62">
        <v>350</v>
      </c>
      <c r="D47" s="62" t="s">
        <v>18</v>
      </c>
      <c r="E47" s="62" t="s">
        <v>45</v>
      </c>
      <c r="F47" s="65" t="s">
        <v>15</v>
      </c>
      <c r="G47" s="62" t="s">
        <v>159</v>
      </c>
      <c r="H47" s="62">
        <v>128</v>
      </c>
      <c r="I47" s="62" t="s">
        <v>39</v>
      </c>
      <c r="J47" s="62" t="s">
        <v>160</v>
      </c>
      <c r="K47" s="62"/>
    </row>
    <row r="48" spans="1:11" x14ac:dyDescent="0.3">
      <c r="A48" s="63" t="s">
        <v>115</v>
      </c>
      <c r="B48" s="64" t="s">
        <v>161</v>
      </c>
      <c r="C48" s="64">
        <v>400</v>
      </c>
      <c r="D48" s="64" t="s">
        <v>18</v>
      </c>
      <c r="E48" s="64" t="s">
        <v>45</v>
      </c>
      <c r="F48" s="65" t="s">
        <v>15</v>
      </c>
      <c r="G48" s="64" t="s">
        <v>162</v>
      </c>
      <c r="H48" s="64">
        <v>144</v>
      </c>
      <c r="I48" s="64" t="s">
        <v>94</v>
      </c>
      <c r="J48" s="64" t="s">
        <v>163</v>
      </c>
      <c r="K48" s="64"/>
    </row>
    <row r="49" spans="1:11" x14ac:dyDescent="0.3">
      <c r="A49" s="61" t="s">
        <v>164</v>
      </c>
      <c r="B49" s="62" t="s">
        <v>165</v>
      </c>
      <c r="C49" s="62">
        <v>1550</v>
      </c>
      <c r="D49" s="62" t="s">
        <v>13</v>
      </c>
      <c r="E49" s="62" t="s">
        <v>14</v>
      </c>
      <c r="F49" s="65" t="s">
        <v>15</v>
      </c>
      <c r="G49" s="62" t="s">
        <v>16</v>
      </c>
      <c r="H49" s="62"/>
      <c r="I49" s="62"/>
      <c r="J49" s="62"/>
      <c r="K49" s="62"/>
    </row>
    <row r="50" spans="1:11" x14ac:dyDescent="0.3">
      <c r="A50" s="63" t="s">
        <v>164</v>
      </c>
      <c r="B50" s="64" t="s">
        <v>166</v>
      </c>
      <c r="C50" s="64">
        <v>350</v>
      </c>
      <c r="D50" s="64" t="s">
        <v>18</v>
      </c>
      <c r="E50" s="64" t="s">
        <v>19</v>
      </c>
      <c r="F50" s="65" t="s">
        <v>15</v>
      </c>
      <c r="G50" s="64" t="s">
        <v>167</v>
      </c>
      <c r="H50" s="64">
        <v>85</v>
      </c>
      <c r="I50" s="64" t="s">
        <v>94</v>
      </c>
      <c r="J50" s="64" t="s">
        <v>168</v>
      </c>
      <c r="K50" s="64"/>
    </row>
    <row r="51" spans="1:11" x14ac:dyDescent="0.3">
      <c r="A51" s="61" t="s">
        <v>169</v>
      </c>
      <c r="B51" s="62" t="s">
        <v>170</v>
      </c>
      <c r="C51" s="62">
        <v>700</v>
      </c>
      <c r="D51" s="62" t="s">
        <v>13</v>
      </c>
      <c r="E51" s="62" t="s">
        <v>14</v>
      </c>
      <c r="F51" s="65" t="s">
        <v>15</v>
      </c>
      <c r="G51" s="62" t="s">
        <v>16</v>
      </c>
      <c r="H51" s="62"/>
      <c r="I51" s="62"/>
      <c r="J51" s="62"/>
      <c r="K51" s="62"/>
    </row>
    <row r="52" spans="1:11" x14ac:dyDescent="0.3">
      <c r="A52" s="63" t="s">
        <v>169</v>
      </c>
      <c r="B52" s="64" t="s">
        <v>63</v>
      </c>
      <c r="C52" s="64">
        <v>170</v>
      </c>
      <c r="D52" s="64" t="s">
        <v>18</v>
      </c>
      <c r="E52" s="64" t="s">
        <v>19</v>
      </c>
      <c r="F52" s="65" t="s">
        <v>15</v>
      </c>
      <c r="G52" s="64" t="s">
        <v>64</v>
      </c>
      <c r="H52" s="64">
        <v>335</v>
      </c>
      <c r="I52" s="64" t="s">
        <v>25</v>
      </c>
      <c r="J52" s="64" t="s">
        <v>65</v>
      </c>
      <c r="K52" s="64"/>
    </row>
    <row r="53" spans="1:11" x14ac:dyDescent="0.3">
      <c r="A53" s="61" t="s">
        <v>169</v>
      </c>
      <c r="B53" s="62" t="s">
        <v>171</v>
      </c>
      <c r="C53" s="62">
        <v>500</v>
      </c>
      <c r="D53" s="62" t="s">
        <v>18</v>
      </c>
      <c r="E53" s="62" t="s">
        <v>45</v>
      </c>
      <c r="F53" s="65" t="s">
        <v>15</v>
      </c>
      <c r="G53" s="62" t="s">
        <v>64</v>
      </c>
      <c r="H53" s="62">
        <v>335</v>
      </c>
      <c r="I53" s="62" t="s">
        <v>25</v>
      </c>
      <c r="J53" s="62" t="s">
        <v>65</v>
      </c>
      <c r="K53" s="62"/>
    </row>
    <row r="54" spans="1:11" x14ac:dyDescent="0.3">
      <c r="A54" s="63" t="s">
        <v>169</v>
      </c>
      <c r="B54" s="64" t="s">
        <v>172</v>
      </c>
      <c r="C54" s="64">
        <v>350</v>
      </c>
      <c r="D54" s="64" t="s">
        <v>18</v>
      </c>
      <c r="E54" s="64" t="s">
        <v>19</v>
      </c>
      <c r="F54" s="65" t="s">
        <v>15</v>
      </c>
      <c r="G54" s="64" t="s">
        <v>173</v>
      </c>
      <c r="H54" s="64">
        <v>399</v>
      </c>
      <c r="I54" s="64" t="s">
        <v>21</v>
      </c>
      <c r="J54" s="64" t="s">
        <v>174</v>
      </c>
      <c r="K54" s="64"/>
    </row>
    <row r="55" spans="1:11" x14ac:dyDescent="0.3">
      <c r="A55" s="61" t="s">
        <v>169</v>
      </c>
      <c r="B55" s="62" t="s">
        <v>175</v>
      </c>
      <c r="C55" s="62">
        <v>600</v>
      </c>
      <c r="D55" s="62" t="s">
        <v>101</v>
      </c>
      <c r="E55" s="62" t="s">
        <v>102</v>
      </c>
      <c r="F55" s="65" t="s">
        <v>15</v>
      </c>
      <c r="G55" s="62" t="s">
        <v>175</v>
      </c>
      <c r="H55" s="62"/>
      <c r="I55" s="62"/>
      <c r="J55" s="62"/>
      <c r="K55" s="62"/>
    </row>
    <row r="56" spans="1:11" x14ac:dyDescent="0.3">
      <c r="A56" s="63" t="s">
        <v>169</v>
      </c>
      <c r="B56" s="64" t="s">
        <v>176</v>
      </c>
      <c r="C56" s="64">
        <v>350</v>
      </c>
      <c r="D56" s="64" t="s">
        <v>18</v>
      </c>
      <c r="E56" s="64" t="s">
        <v>19</v>
      </c>
      <c r="F56" s="65" t="s">
        <v>15</v>
      </c>
      <c r="G56" s="64" t="s">
        <v>177</v>
      </c>
      <c r="H56" s="64">
        <v>109</v>
      </c>
      <c r="I56" s="64" t="s">
        <v>178</v>
      </c>
      <c r="J56" s="64" t="s">
        <v>40</v>
      </c>
      <c r="K56" s="64"/>
    </row>
    <row r="57" spans="1:11" x14ac:dyDescent="0.3">
      <c r="A57" s="61" t="s">
        <v>169</v>
      </c>
      <c r="B57" s="62" t="s">
        <v>179</v>
      </c>
      <c r="C57" s="62">
        <v>500</v>
      </c>
      <c r="D57" s="62" t="s">
        <v>101</v>
      </c>
      <c r="E57" s="62" t="s">
        <v>102</v>
      </c>
      <c r="F57" s="65" t="s">
        <v>15</v>
      </c>
      <c r="G57" s="62" t="s">
        <v>179</v>
      </c>
      <c r="H57" s="62"/>
      <c r="I57" s="62"/>
      <c r="J57" s="62"/>
      <c r="K57" s="62"/>
    </row>
    <row r="58" spans="1:11" x14ac:dyDescent="0.3">
      <c r="A58" s="63" t="s">
        <v>169</v>
      </c>
      <c r="B58" s="64" t="s">
        <v>180</v>
      </c>
      <c r="C58" s="64">
        <v>1000</v>
      </c>
      <c r="D58" s="64" t="s">
        <v>92</v>
      </c>
      <c r="E58" s="64" t="s">
        <v>45</v>
      </c>
      <c r="F58" s="65" t="s">
        <v>15</v>
      </c>
      <c r="G58" s="64" t="s">
        <v>181</v>
      </c>
      <c r="H58" s="64">
        <v>367</v>
      </c>
      <c r="I58" s="64" t="s">
        <v>105</v>
      </c>
      <c r="J58" s="64" t="s">
        <v>182</v>
      </c>
      <c r="K58" s="64"/>
    </row>
    <row r="59" spans="1:11" x14ac:dyDescent="0.3">
      <c r="A59" s="61" t="s">
        <v>169</v>
      </c>
      <c r="B59" s="62" t="s">
        <v>183</v>
      </c>
      <c r="C59" s="62">
        <v>500</v>
      </c>
      <c r="D59" s="62" t="s">
        <v>18</v>
      </c>
      <c r="E59" s="62" t="s">
        <v>19</v>
      </c>
      <c r="F59" s="65" t="s">
        <v>15</v>
      </c>
      <c r="G59" s="62" t="s">
        <v>184</v>
      </c>
      <c r="H59" s="62">
        <v>140</v>
      </c>
      <c r="I59" s="62" t="s">
        <v>39</v>
      </c>
      <c r="J59" s="62" t="s">
        <v>185</v>
      </c>
      <c r="K59" s="62"/>
    </row>
    <row r="60" spans="1:11" x14ac:dyDescent="0.3">
      <c r="A60" s="63" t="s">
        <v>169</v>
      </c>
      <c r="B60" s="64" t="s">
        <v>186</v>
      </c>
      <c r="C60" s="64">
        <v>500</v>
      </c>
      <c r="D60" s="64" t="s">
        <v>101</v>
      </c>
      <c r="E60" s="64" t="s">
        <v>102</v>
      </c>
      <c r="F60" s="65" t="s">
        <v>15</v>
      </c>
      <c r="G60" s="64" t="s">
        <v>186</v>
      </c>
      <c r="H60" s="64"/>
      <c r="I60" s="64"/>
      <c r="J60" s="64"/>
      <c r="K60" s="64"/>
    </row>
    <row r="61" spans="1:11" x14ac:dyDescent="0.3">
      <c r="A61" s="61" t="s">
        <v>169</v>
      </c>
      <c r="B61" s="62" t="s">
        <v>187</v>
      </c>
      <c r="C61" s="62">
        <v>200</v>
      </c>
      <c r="D61" s="62" t="s">
        <v>18</v>
      </c>
      <c r="E61" s="62" t="s">
        <v>84</v>
      </c>
      <c r="F61" s="65" t="s">
        <v>15</v>
      </c>
      <c r="G61" s="62" t="s">
        <v>188</v>
      </c>
      <c r="H61" s="62">
        <v>396</v>
      </c>
      <c r="I61" s="62" t="s">
        <v>21</v>
      </c>
      <c r="J61" s="62" t="s">
        <v>189</v>
      </c>
      <c r="K61" s="62" t="s">
        <v>190</v>
      </c>
    </row>
    <row r="62" spans="1:11" x14ac:dyDescent="0.3">
      <c r="A62" s="63" t="s">
        <v>169</v>
      </c>
      <c r="B62" s="64" t="s">
        <v>191</v>
      </c>
      <c r="C62" s="64">
        <v>500</v>
      </c>
      <c r="D62" s="64" t="s">
        <v>18</v>
      </c>
      <c r="E62" s="64" t="s">
        <v>19</v>
      </c>
      <c r="F62" s="65" t="s">
        <v>15</v>
      </c>
      <c r="G62" s="64" t="s">
        <v>192</v>
      </c>
      <c r="H62" s="64">
        <v>254</v>
      </c>
      <c r="I62" s="64" t="s">
        <v>29</v>
      </c>
      <c r="J62" s="64" t="s">
        <v>193</v>
      </c>
      <c r="K62" s="64"/>
    </row>
    <row r="63" spans="1:11" x14ac:dyDescent="0.3">
      <c r="A63" s="61" t="s">
        <v>194</v>
      </c>
      <c r="B63" s="62" t="s">
        <v>195</v>
      </c>
      <c r="C63" s="62">
        <v>1263</v>
      </c>
      <c r="D63" s="62" t="s">
        <v>13</v>
      </c>
      <c r="E63" s="62" t="s">
        <v>14</v>
      </c>
      <c r="F63" s="65" t="s">
        <v>15</v>
      </c>
      <c r="G63" s="62" t="s">
        <v>16</v>
      </c>
      <c r="H63" s="62"/>
      <c r="I63" s="62"/>
      <c r="J63" s="62"/>
      <c r="K63" s="62"/>
    </row>
    <row r="64" spans="1:11" x14ac:dyDescent="0.3">
      <c r="A64" s="63" t="s">
        <v>194</v>
      </c>
      <c r="B64" s="64" t="s">
        <v>196</v>
      </c>
      <c r="C64" s="64">
        <v>500</v>
      </c>
      <c r="D64" s="64" t="s">
        <v>18</v>
      </c>
      <c r="E64" s="64" t="s">
        <v>45</v>
      </c>
      <c r="F64" s="65" t="s">
        <v>15</v>
      </c>
      <c r="G64" s="64" t="s">
        <v>197</v>
      </c>
      <c r="H64" s="64">
        <v>146</v>
      </c>
      <c r="I64" s="64" t="s">
        <v>68</v>
      </c>
      <c r="J64" s="64" t="s">
        <v>198</v>
      </c>
      <c r="K64" s="64"/>
    </row>
    <row r="65" spans="1:11" x14ac:dyDescent="0.3">
      <c r="A65" s="61" t="s">
        <v>194</v>
      </c>
      <c r="B65" s="62" t="s">
        <v>199</v>
      </c>
      <c r="C65" s="62">
        <v>1000</v>
      </c>
      <c r="D65" s="62" t="s">
        <v>92</v>
      </c>
      <c r="E65" s="62" t="s">
        <v>19</v>
      </c>
      <c r="F65" s="65" t="s">
        <v>15</v>
      </c>
      <c r="G65" s="62" t="s">
        <v>200</v>
      </c>
      <c r="H65" s="62">
        <v>280</v>
      </c>
      <c r="I65" s="62" t="s">
        <v>105</v>
      </c>
      <c r="J65" s="62" t="s">
        <v>201</v>
      </c>
      <c r="K65" s="62"/>
    </row>
    <row r="66" spans="1:11" x14ac:dyDescent="0.3">
      <c r="A66" s="63" t="s">
        <v>194</v>
      </c>
      <c r="B66" s="64" t="s">
        <v>202</v>
      </c>
      <c r="C66" s="64">
        <v>500</v>
      </c>
      <c r="D66" s="64" t="s">
        <v>92</v>
      </c>
      <c r="E66" s="64" t="s">
        <v>19</v>
      </c>
      <c r="F66" s="65" t="s">
        <v>15</v>
      </c>
      <c r="G66" s="64" t="s">
        <v>203</v>
      </c>
      <c r="H66" s="64">
        <v>342</v>
      </c>
      <c r="I66" s="64" t="s">
        <v>105</v>
      </c>
      <c r="J66" s="64" t="s">
        <v>204</v>
      </c>
      <c r="K66" s="64"/>
    </row>
    <row r="67" spans="1:11" x14ac:dyDescent="0.3">
      <c r="A67" s="61" t="s">
        <v>194</v>
      </c>
      <c r="B67" s="62" t="s">
        <v>205</v>
      </c>
      <c r="C67" s="62">
        <v>500</v>
      </c>
      <c r="D67" s="62" t="s">
        <v>92</v>
      </c>
      <c r="E67" s="62" t="s">
        <v>45</v>
      </c>
      <c r="F67" s="65" t="s">
        <v>15</v>
      </c>
      <c r="G67" s="62" t="s">
        <v>206</v>
      </c>
      <c r="H67" s="62">
        <v>351</v>
      </c>
      <c r="I67" s="62" t="s">
        <v>21</v>
      </c>
      <c r="J67" s="62" t="s">
        <v>207</v>
      </c>
      <c r="K67" s="62"/>
    </row>
    <row r="68" spans="1:11" x14ac:dyDescent="0.3">
      <c r="A68" s="63" t="s">
        <v>194</v>
      </c>
      <c r="B68" s="64" t="s">
        <v>208</v>
      </c>
      <c r="C68" s="64">
        <v>300</v>
      </c>
      <c r="D68" s="64" t="s">
        <v>92</v>
      </c>
      <c r="E68" s="64" t="s">
        <v>84</v>
      </c>
      <c r="F68" s="65" t="s">
        <v>15</v>
      </c>
      <c r="G68" s="64" t="s">
        <v>188</v>
      </c>
      <c r="H68" s="64">
        <v>396</v>
      </c>
      <c r="I68" s="64" t="s">
        <v>21</v>
      </c>
      <c r="J68" s="64" t="s">
        <v>189</v>
      </c>
      <c r="K68" s="64" t="s">
        <v>190</v>
      </c>
    </row>
    <row r="69" spans="1:11" x14ac:dyDescent="0.3">
      <c r="A69" s="61" t="s">
        <v>209</v>
      </c>
      <c r="B69" s="62" t="s">
        <v>17</v>
      </c>
      <c r="C69" s="62">
        <v>300</v>
      </c>
      <c r="D69" s="62" t="s">
        <v>18</v>
      </c>
      <c r="E69" s="62" t="s">
        <v>19</v>
      </c>
      <c r="F69" s="65" t="s">
        <v>15</v>
      </c>
      <c r="G69" s="62" t="s">
        <v>20</v>
      </c>
      <c r="H69" s="62">
        <v>411</v>
      </c>
      <c r="I69" s="62" t="s">
        <v>21</v>
      </c>
      <c r="J69" s="62" t="s">
        <v>22</v>
      </c>
      <c r="K69" s="62"/>
    </row>
    <row r="70" spans="1:11" x14ac:dyDescent="0.3">
      <c r="A70" s="63" t="s">
        <v>209</v>
      </c>
      <c r="B70" s="64" t="s">
        <v>49</v>
      </c>
      <c r="C70" s="64">
        <v>300</v>
      </c>
      <c r="D70" s="64" t="s">
        <v>18</v>
      </c>
      <c r="E70" s="64" t="s">
        <v>50</v>
      </c>
      <c r="F70" s="65" t="s">
        <v>15</v>
      </c>
      <c r="G70" s="64" t="s">
        <v>51</v>
      </c>
      <c r="H70" s="64">
        <v>433</v>
      </c>
      <c r="I70" s="64" t="s">
        <v>47</v>
      </c>
      <c r="J70" s="64" t="s">
        <v>52</v>
      </c>
      <c r="K70" s="64"/>
    </row>
    <row r="71" spans="1:11" x14ac:dyDescent="0.3">
      <c r="A71" s="61" t="s">
        <v>209</v>
      </c>
      <c r="B71" s="62" t="s">
        <v>210</v>
      </c>
      <c r="C71" s="62">
        <v>600</v>
      </c>
      <c r="D71" s="62" t="s">
        <v>18</v>
      </c>
      <c r="E71" s="62" t="s">
        <v>45</v>
      </c>
      <c r="F71" s="65" t="s">
        <v>15</v>
      </c>
      <c r="G71" s="62" t="s">
        <v>211</v>
      </c>
      <c r="H71" s="62">
        <v>223</v>
      </c>
      <c r="I71" s="62" t="s">
        <v>94</v>
      </c>
      <c r="J71" s="62" t="s">
        <v>212</v>
      </c>
      <c r="K71" s="62"/>
    </row>
    <row r="72" spans="1:11" x14ac:dyDescent="0.3">
      <c r="A72" s="63" t="s">
        <v>209</v>
      </c>
      <c r="B72" s="64" t="s">
        <v>213</v>
      </c>
      <c r="C72" s="64">
        <v>400</v>
      </c>
      <c r="D72" s="64" t="s">
        <v>18</v>
      </c>
      <c r="E72" s="64" t="s">
        <v>19</v>
      </c>
      <c r="F72" s="65" t="s">
        <v>15</v>
      </c>
      <c r="G72" s="64" t="s">
        <v>214</v>
      </c>
      <c r="H72" s="64">
        <v>117</v>
      </c>
      <c r="I72" s="64" t="s">
        <v>178</v>
      </c>
      <c r="J72" s="64" t="s">
        <v>215</v>
      </c>
      <c r="K72" s="64"/>
    </row>
    <row r="73" spans="1:11" x14ac:dyDescent="0.3">
      <c r="A73" s="61" t="s">
        <v>209</v>
      </c>
      <c r="B73" s="62" t="s">
        <v>216</v>
      </c>
      <c r="C73" s="62">
        <v>500</v>
      </c>
      <c r="D73" s="62" t="s">
        <v>92</v>
      </c>
      <c r="E73" s="62" t="s">
        <v>19</v>
      </c>
      <c r="F73" s="65" t="s">
        <v>15</v>
      </c>
      <c r="G73" s="62" t="s">
        <v>214</v>
      </c>
      <c r="H73" s="62">
        <v>117</v>
      </c>
      <c r="I73" s="62" t="s">
        <v>178</v>
      </c>
      <c r="J73" s="62" t="s">
        <v>215</v>
      </c>
      <c r="K73" s="62"/>
    </row>
    <row r="74" spans="1:11" x14ac:dyDescent="0.3">
      <c r="A74" s="63" t="s">
        <v>209</v>
      </c>
      <c r="B74" s="64" t="s">
        <v>217</v>
      </c>
      <c r="C74" s="64">
        <v>170</v>
      </c>
      <c r="D74" s="64" t="s">
        <v>18</v>
      </c>
      <c r="E74" s="64" t="s">
        <v>19</v>
      </c>
      <c r="F74" s="65" t="s">
        <v>15</v>
      </c>
      <c r="G74" s="64" t="s">
        <v>218</v>
      </c>
      <c r="H74" s="64">
        <v>308</v>
      </c>
      <c r="I74" s="64" t="s">
        <v>219</v>
      </c>
      <c r="J74" s="64" t="s">
        <v>220</v>
      </c>
      <c r="K74" s="64"/>
    </row>
    <row r="75" spans="1:11" x14ac:dyDescent="0.3">
      <c r="A75" s="61" t="s">
        <v>209</v>
      </c>
      <c r="B75" s="62" t="s">
        <v>221</v>
      </c>
      <c r="C75" s="62">
        <v>300</v>
      </c>
      <c r="D75" s="62" t="s">
        <v>18</v>
      </c>
      <c r="E75" s="62" t="s">
        <v>19</v>
      </c>
      <c r="F75" s="65" t="s">
        <v>15</v>
      </c>
      <c r="G75" s="62" t="s">
        <v>222</v>
      </c>
      <c r="H75" s="62">
        <v>311</v>
      </c>
      <c r="I75" s="62" t="s">
        <v>25</v>
      </c>
      <c r="J75" s="62" t="s">
        <v>223</v>
      </c>
      <c r="K75" s="62"/>
    </row>
    <row r="76" spans="1:11" x14ac:dyDescent="0.3">
      <c r="A76" s="63" t="s">
        <v>224</v>
      </c>
      <c r="B76" s="64" t="s">
        <v>60</v>
      </c>
      <c r="C76" s="64">
        <v>170</v>
      </c>
      <c r="D76" s="64" t="s">
        <v>18</v>
      </c>
      <c r="E76" s="64" t="s">
        <v>45</v>
      </c>
      <c r="F76" s="65" t="s">
        <v>15</v>
      </c>
      <c r="G76" s="64" t="s">
        <v>61</v>
      </c>
      <c r="H76" s="64">
        <v>443</v>
      </c>
      <c r="I76" s="64" t="s">
        <v>47</v>
      </c>
      <c r="J76" s="64" t="s">
        <v>62</v>
      </c>
      <c r="K76" s="64"/>
    </row>
    <row r="77" spans="1:11" x14ac:dyDescent="0.3">
      <c r="A77" t="s">
        <v>225</v>
      </c>
      <c r="B77" t="s">
        <v>226</v>
      </c>
      <c r="C77">
        <v>350</v>
      </c>
      <c r="D77" t="s">
        <v>18</v>
      </c>
      <c r="E77" t="s">
        <v>227</v>
      </c>
      <c r="F77" t="s">
        <v>228</v>
      </c>
      <c r="G77" t="s">
        <v>229</v>
      </c>
      <c r="H77">
        <v>229</v>
      </c>
      <c r="I77" t="s">
        <v>132</v>
      </c>
      <c r="K77" t="s">
        <v>230</v>
      </c>
    </row>
    <row r="78" spans="1:11" x14ac:dyDescent="0.3">
      <c r="A78" t="s">
        <v>231</v>
      </c>
      <c r="B78" t="s">
        <v>31</v>
      </c>
      <c r="C78">
        <v>350</v>
      </c>
      <c r="D78" t="s">
        <v>18</v>
      </c>
      <c r="E78" t="s">
        <v>84</v>
      </c>
      <c r="F78" t="s">
        <v>15</v>
      </c>
      <c r="G78" t="s">
        <v>33</v>
      </c>
      <c r="H78">
        <v>29</v>
      </c>
      <c r="I78" t="s">
        <v>232</v>
      </c>
      <c r="K78" t="s">
        <v>233</v>
      </c>
    </row>
    <row r="79" spans="1:11" x14ac:dyDescent="0.3">
      <c r="A79" t="s">
        <v>231</v>
      </c>
      <c r="B79" t="s">
        <v>90</v>
      </c>
      <c r="C79">
        <v>200</v>
      </c>
      <c r="D79" t="s">
        <v>18</v>
      </c>
      <c r="E79" t="s">
        <v>227</v>
      </c>
      <c r="F79" t="s">
        <v>228</v>
      </c>
      <c r="G79" t="s">
        <v>234</v>
      </c>
      <c r="H79">
        <v>242</v>
      </c>
      <c r="I79" t="s">
        <v>25</v>
      </c>
      <c r="K79" t="s">
        <v>235</v>
      </c>
    </row>
    <row r="80" spans="1:11" x14ac:dyDescent="0.3">
      <c r="A80" t="s">
        <v>231</v>
      </c>
      <c r="B80" t="s">
        <v>236</v>
      </c>
      <c r="C80">
        <v>500</v>
      </c>
      <c r="D80" t="s">
        <v>92</v>
      </c>
      <c r="E80" t="s">
        <v>227</v>
      </c>
      <c r="F80" t="s">
        <v>15</v>
      </c>
      <c r="G80" t="s">
        <v>177</v>
      </c>
      <c r="H80">
        <v>109</v>
      </c>
      <c r="I80" t="s">
        <v>178</v>
      </c>
      <c r="K80" t="s">
        <v>237</v>
      </c>
    </row>
    <row r="81" spans="1:11" x14ac:dyDescent="0.3">
      <c r="A81" t="s">
        <v>238</v>
      </c>
      <c r="B81" t="s">
        <v>66</v>
      </c>
      <c r="C81">
        <v>200</v>
      </c>
      <c r="D81" t="s">
        <v>18</v>
      </c>
      <c r="E81" t="s">
        <v>227</v>
      </c>
      <c r="F81" t="s">
        <v>15</v>
      </c>
      <c r="G81" t="s">
        <v>67</v>
      </c>
      <c r="H81">
        <v>268</v>
      </c>
      <c r="I81" t="s">
        <v>68</v>
      </c>
      <c r="K81" t="s">
        <v>239</v>
      </c>
    </row>
    <row r="82" spans="1:11" x14ac:dyDescent="0.3">
      <c r="A82" t="s">
        <v>238</v>
      </c>
      <c r="B82" t="s">
        <v>240</v>
      </c>
      <c r="C82">
        <v>500</v>
      </c>
      <c r="D82" t="s">
        <v>92</v>
      </c>
      <c r="E82" t="s">
        <v>227</v>
      </c>
      <c r="F82" t="s">
        <v>228</v>
      </c>
      <c r="G82" t="s">
        <v>241</v>
      </c>
      <c r="H82">
        <v>126</v>
      </c>
      <c r="I82" t="s">
        <v>145</v>
      </c>
      <c r="K82" t="s">
        <v>242</v>
      </c>
    </row>
    <row r="83" spans="1:11" x14ac:dyDescent="0.3">
      <c r="A83" t="s">
        <v>243</v>
      </c>
      <c r="B83" t="s">
        <v>54</v>
      </c>
      <c r="C83">
        <v>200</v>
      </c>
      <c r="D83" t="s">
        <v>18</v>
      </c>
      <c r="E83" t="s">
        <v>84</v>
      </c>
      <c r="F83" t="s">
        <v>15</v>
      </c>
      <c r="G83" t="s">
        <v>55</v>
      </c>
      <c r="H83">
        <v>485</v>
      </c>
      <c r="I83" t="s">
        <v>56</v>
      </c>
      <c r="K83" t="s">
        <v>244</v>
      </c>
    </row>
    <row r="84" spans="1:11" x14ac:dyDescent="0.3">
      <c r="A84" t="s">
        <v>243</v>
      </c>
      <c r="B84" t="s">
        <v>37</v>
      </c>
      <c r="C84">
        <v>350</v>
      </c>
      <c r="D84" t="s">
        <v>18</v>
      </c>
      <c r="E84" t="s">
        <v>84</v>
      </c>
      <c r="F84" t="s">
        <v>15</v>
      </c>
      <c r="G84" t="s">
        <v>38</v>
      </c>
      <c r="H84">
        <v>106</v>
      </c>
      <c r="I84" t="s">
        <v>39</v>
      </c>
      <c r="K84" t="s">
        <v>245</v>
      </c>
    </row>
    <row r="85" spans="1:11" x14ac:dyDescent="0.3">
      <c r="A85" t="s">
        <v>246</v>
      </c>
      <c r="B85" t="s">
        <v>247</v>
      </c>
      <c r="C85">
        <v>1000</v>
      </c>
      <c r="D85" t="s">
        <v>92</v>
      </c>
      <c r="E85" t="s">
        <v>227</v>
      </c>
      <c r="F85" t="s">
        <v>228</v>
      </c>
      <c r="G85" t="s">
        <v>248</v>
      </c>
      <c r="H85">
        <v>121</v>
      </c>
      <c r="I85" t="s">
        <v>249</v>
      </c>
      <c r="K85" t="s">
        <v>250</v>
      </c>
    </row>
    <row r="86" spans="1:11" x14ac:dyDescent="0.3">
      <c r="A86" t="s">
        <v>251</v>
      </c>
      <c r="B86" t="s">
        <v>252</v>
      </c>
      <c r="C86">
        <v>500</v>
      </c>
      <c r="D86" t="s">
        <v>92</v>
      </c>
      <c r="E86" t="s">
        <v>227</v>
      </c>
      <c r="F86" t="s">
        <v>228</v>
      </c>
      <c r="G86" t="s">
        <v>253</v>
      </c>
      <c r="H86">
        <v>230</v>
      </c>
      <c r="I86" t="s">
        <v>25</v>
      </c>
      <c r="K86" t="s">
        <v>254</v>
      </c>
    </row>
    <row r="87" spans="1:11" x14ac:dyDescent="0.3">
      <c r="A87" t="s">
        <v>251</v>
      </c>
      <c r="B87" t="s">
        <v>255</v>
      </c>
      <c r="C87">
        <v>170</v>
      </c>
      <c r="D87" t="s">
        <v>18</v>
      </c>
      <c r="E87" t="s">
        <v>227</v>
      </c>
      <c r="F87" t="s">
        <v>228</v>
      </c>
      <c r="G87" t="s">
        <v>256</v>
      </c>
      <c r="H87">
        <v>131</v>
      </c>
      <c r="I87" t="s">
        <v>94</v>
      </c>
      <c r="K87" t="s">
        <v>257</v>
      </c>
    </row>
    <row r="88" spans="1:11" x14ac:dyDescent="0.3">
      <c r="A88" t="s">
        <v>258</v>
      </c>
      <c r="B88" t="s">
        <v>23</v>
      </c>
      <c r="C88">
        <v>170</v>
      </c>
      <c r="D88" t="s">
        <v>18</v>
      </c>
      <c r="E88" t="s">
        <v>227</v>
      </c>
      <c r="F88" t="s">
        <v>15</v>
      </c>
      <c r="G88" t="s">
        <v>24</v>
      </c>
      <c r="H88">
        <v>341</v>
      </c>
      <c r="I88" t="s">
        <v>25</v>
      </c>
      <c r="K88" t="s">
        <v>259</v>
      </c>
    </row>
    <row r="89" spans="1:11" x14ac:dyDescent="0.3">
      <c r="A89" t="s">
        <v>260</v>
      </c>
      <c r="B89" t="s">
        <v>157</v>
      </c>
      <c r="C89">
        <v>350</v>
      </c>
      <c r="D89" t="s">
        <v>92</v>
      </c>
      <c r="E89" t="s">
        <v>84</v>
      </c>
      <c r="F89" t="s">
        <v>15</v>
      </c>
      <c r="G89" t="s">
        <v>85</v>
      </c>
      <c r="H89">
        <v>323</v>
      </c>
      <c r="I89" t="s">
        <v>261</v>
      </c>
      <c r="K89" t="s">
        <v>262</v>
      </c>
    </row>
    <row r="90" spans="1:11" x14ac:dyDescent="0.3">
      <c r="A90" t="s">
        <v>263</v>
      </c>
      <c r="B90" t="s">
        <v>158</v>
      </c>
      <c r="C90">
        <v>300</v>
      </c>
      <c r="D90" t="s">
        <v>18</v>
      </c>
      <c r="E90" t="s">
        <v>227</v>
      </c>
      <c r="F90" t="s">
        <v>228</v>
      </c>
      <c r="G90" t="s">
        <v>159</v>
      </c>
      <c r="H90">
        <v>128</v>
      </c>
      <c r="I90" t="s">
        <v>39</v>
      </c>
      <c r="K90" t="s">
        <v>254</v>
      </c>
    </row>
    <row r="91" spans="1:11" x14ac:dyDescent="0.3">
      <c r="A91" t="s">
        <v>263</v>
      </c>
      <c r="B91" t="s">
        <v>187</v>
      </c>
      <c r="C91">
        <v>150</v>
      </c>
      <c r="D91" t="s">
        <v>18</v>
      </c>
      <c r="E91" t="s">
        <v>84</v>
      </c>
      <c r="F91" t="s">
        <v>15</v>
      </c>
      <c r="G91" t="s">
        <v>188</v>
      </c>
      <c r="H91">
        <v>396</v>
      </c>
      <c r="I91" t="s">
        <v>249</v>
      </c>
      <c r="K91" t="s">
        <v>264</v>
      </c>
    </row>
    <row r="92" spans="1:11" x14ac:dyDescent="0.3">
      <c r="A92" t="s">
        <v>265</v>
      </c>
      <c r="B92" t="s">
        <v>266</v>
      </c>
      <c r="C92">
        <v>3500</v>
      </c>
      <c r="D92" t="s">
        <v>92</v>
      </c>
      <c r="E92" t="s">
        <v>227</v>
      </c>
      <c r="F92" t="s">
        <v>15</v>
      </c>
      <c r="G92" t="s">
        <v>267</v>
      </c>
      <c r="H92">
        <v>182</v>
      </c>
      <c r="I92" t="s">
        <v>94</v>
      </c>
      <c r="K92" t="s">
        <v>268</v>
      </c>
    </row>
    <row r="93" spans="1:11" x14ac:dyDescent="0.3">
      <c r="A93" t="s">
        <v>265</v>
      </c>
      <c r="B93" t="s">
        <v>143</v>
      </c>
      <c r="C93">
        <v>200</v>
      </c>
      <c r="D93" t="s">
        <v>18</v>
      </c>
      <c r="E93" t="s">
        <v>84</v>
      </c>
      <c r="F93" t="s">
        <v>15</v>
      </c>
      <c r="G93" t="s">
        <v>144</v>
      </c>
      <c r="H93">
        <v>138</v>
      </c>
      <c r="I93" t="s">
        <v>145</v>
      </c>
      <c r="K93" t="s">
        <v>269</v>
      </c>
    </row>
    <row r="94" spans="1:11" x14ac:dyDescent="0.3">
      <c r="A94" t="s">
        <v>270</v>
      </c>
      <c r="B94" t="s">
        <v>271</v>
      </c>
      <c r="C94">
        <v>2000</v>
      </c>
      <c r="D94" t="s">
        <v>92</v>
      </c>
      <c r="E94" t="s">
        <v>227</v>
      </c>
      <c r="F94" t="s">
        <v>15</v>
      </c>
      <c r="G94" t="s">
        <v>272</v>
      </c>
      <c r="H94">
        <v>25</v>
      </c>
      <c r="I94" t="s">
        <v>232</v>
      </c>
      <c r="K94" t="s">
        <v>273</v>
      </c>
    </row>
    <row r="95" spans="1:11" x14ac:dyDescent="0.3">
      <c r="A95" t="s">
        <v>274</v>
      </c>
      <c r="B95" t="s">
        <v>166</v>
      </c>
      <c r="C95">
        <v>350</v>
      </c>
      <c r="D95" t="s">
        <v>18</v>
      </c>
      <c r="E95" t="s">
        <v>227</v>
      </c>
      <c r="F95" t="s">
        <v>228</v>
      </c>
      <c r="G95" t="s">
        <v>167</v>
      </c>
      <c r="H95">
        <v>85</v>
      </c>
      <c r="I95" t="s">
        <v>94</v>
      </c>
      <c r="K95" t="s">
        <v>275</v>
      </c>
    </row>
    <row r="96" spans="1:11" x14ac:dyDescent="0.3">
      <c r="A96" t="s">
        <v>274</v>
      </c>
      <c r="B96" t="s">
        <v>63</v>
      </c>
      <c r="C96">
        <v>170</v>
      </c>
      <c r="D96" t="s">
        <v>18</v>
      </c>
      <c r="E96" t="s">
        <v>227</v>
      </c>
      <c r="F96" t="s">
        <v>15</v>
      </c>
      <c r="G96" t="s">
        <v>64</v>
      </c>
      <c r="H96">
        <v>335</v>
      </c>
      <c r="I96" t="s">
        <v>25</v>
      </c>
      <c r="K96" t="s">
        <v>276</v>
      </c>
    </row>
    <row r="97" spans="1:11" x14ac:dyDescent="0.3">
      <c r="A97" t="s">
        <v>274</v>
      </c>
      <c r="B97" t="s">
        <v>277</v>
      </c>
      <c r="C97">
        <v>500</v>
      </c>
      <c r="D97" t="s">
        <v>18</v>
      </c>
      <c r="E97" t="s">
        <v>227</v>
      </c>
      <c r="F97" t="s">
        <v>228</v>
      </c>
      <c r="G97" t="s">
        <v>98</v>
      </c>
      <c r="H97">
        <v>291</v>
      </c>
      <c r="I97" t="s">
        <v>25</v>
      </c>
      <c r="K97" t="s">
        <v>278</v>
      </c>
    </row>
    <row r="98" spans="1:11" x14ac:dyDescent="0.3">
      <c r="A98" t="s">
        <v>274</v>
      </c>
      <c r="B98" t="s">
        <v>49</v>
      </c>
      <c r="C98">
        <v>300</v>
      </c>
      <c r="D98" t="s">
        <v>18</v>
      </c>
      <c r="E98" t="s">
        <v>227</v>
      </c>
      <c r="F98" t="s">
        <v>228</v>
      </c>
      <c r="G98" t="s">
        <v>51</v>
      </c>
      <c r="H98">
        <v>433</v>
      </c>
      <c r="I98" t="s">
        <v>279</v>
      </c>
      <c r="K98" t="s">
        <v>280</v>
      </c>
    </row>
    <row r="99" spans="1:11" x14ac:dyDescent="0.3">
      <c r="A99" t="s">
        <v>281</v>
      </c>
      <c r="B99" t="s">
        <v>17</v>
      </c>
      <c r="C99">
        <v>300</v>
      </c>
      <c r="D99" t="s">
        <v>18</v>
      </c>
      <c r="E99" t="s">
        <v>227</v>
      </c>
      <c r="F99" t="s">
        <v>228</v>
      </c>
      <c r="G99" t="s">
        <v>20</v>
      </c>
      <c r="H99">
        <v>411</v>
      </c>
      <c r="I99" t="s">
        <v>249</v>
      </c>
      <c r="K99" t="s">
        <v>282</v>
      </c>
    </row>
    <row r="100" spans="1:11" x14ac:dyDescent="0.3">
      <c r="A100" t="s">
        <v>281</v>
      </c>
      <c r="B100" t="s">
        <v>213</v>
      </c>
      <c r="C100">
        <v>400</v>
      </c>
      <c r="D100" t="s">
        <v>18</v>
      </c>
      <c r="E100" t="s">
        <v>227</v>
      </c>
      <c r="F100" t="s">
        <v>228</v>
      </c>
      <c r="G100" t="s">
        <v>283</v>
      </c>
      <c r="H100">
        <v>116</v>
      </c>
      <c r="I100" t="s">
        <v>39</v>
      </c>
      <c r="K100" t="s">
        <v>284</v>
      </c>
    </row>
    <row r="101" spans="1:11" x14ac:dyDescent="0.3">
      <c r="A101" t="s">
        <v>285</v>
      </c>
      <c r="B101" t="s">
        <v>217</v>
      </c>
      <c r="C101">
        <v>170</v>
      </c>
      <c r="D101" t="s">
        <v>18</v>
      </c>
      <c r="E101" t="s">
        <v>227</v>
      </c>
      <c r="F101" t="s">
        <v>228</v>
      </c>
      <c r="G101" t="s">
        <v>286</v>
      </c>
      <c r="H101">
        <v>306</v>
      </c>
      <c r="I101" t="s">
        <v>68</v>
      </c>
      <c r="K101" t="s">
        <v>287</v>
      </c>
    </row>
    <row r="102" spans="1:11" x14ac:dyDescent="0.3">
      <c r="A102" t="s">
        <v>285</v>
      </c>
      <c r="B102" t="s">
        <v>176</v>
      </c>
      <c r="C102">
        <v>350</v>
      </c>
      <c r="D102" t="s">
        <v>18</v>
      </c>
      <c r="E102" t="s">
        <v>227</v>
      </c>
      <c r="F102" t="s">
        <v>228</v>
      </c>
      <c r="G102" t="s">
        <v>288</v>
      </c>
      <c r="H102">
        <v>105</v>
      </c>
      <c r="I102" t="s">
        <v>94</v>
      </c>
      <c r="K102" t="s">
        <v>289</v>
      </c>
    </row>
    <row r="103" spans="1:11" x14ac:dyDescent="0.3">
      <c r="A103" t="s">
        <v>290</v>
      </c>
      <c r="B103" t="s">
        <v>90</v>
      </c>
      <c r="C103">
        <v>200</v>
      </c>
      <c r="D103" t="s">
        <v>18</v>
      </c>
      <c r="E103" t="s">
        <v>227</v>
      </c>
      <c r="F103" t="s">
        <v>15</v>
      </c>
      <c r="G103" t="s">
        <v>28</v>
      </c>
      <c r="H103">
        <v>243</v>
      </c>
      <c r="I103" t="s">
        <v>29</v>
      </c>
    </row>
    <row r="104" spans="1:11" x14ac:dyDescent="0.3">
      <c r="A104" t="s">
        <v>290</v>
      </c>
      <c r="B104" t="s">
        <v>66</v>
      </c>
      <c r="C104">
        <v>200</v>
      </c>
      <c r="D104" t="s">
        <v>18</v>
      </c>
      <c r="E104" t="s">
        <v>227</v>
      </c>
      <c r="F104" t="s">
        <v>15</v>
      </c>
      <c r="G104" t="s">
        <v>67</v>
      </c>
      <c r="H104">
        <v>268</v>
      </c>
      <c r="I104" t="s">
        <v>68</v>
      </c>
    </row>
    <row r="105" spans="1:11" x14ac:dyDescent="0.3">
      <c r="A105" t="s">
        <v>290</v>
      </c>
      <c r="B105" t="s">
        <v>221</v>
      </c>
      <c r="C105">
        <v>300</v>
      </c>
      <c r="D105" t="s">
        <v>18</v>
      </c>
      <c r="E105" t="s">
        <v>227</v>
      </c>
      <c r="F105" t="s">
        <v>15</v>
      </c>
      <c r="G105" t="s">
        <v>222</v>
      </c>
      <c r="H105">
        <v>311</v>
      </c>
      <c r="I105" t="s">
        <v>25</v>
      </c>
    </row>
    <row r="106" spans="1:11" x14ac:dyDescent="0.3">
      <c r="A106" t="s">
        <v>291</v>
      </c>
      <c r="B106" t="s">
        <v>37</v>
      </c>
      <c r="C106">
        <v>350</v>
      </c>
      <c r="D106" t="s">
        <v>18</v>
      </c>
      <c r="E106" t="s">
        <v>227</v>
      </c>
      <c r="F106" t="s">
        <v>15</v>
      </c>
      <c r="G106" t="s">
        <v>38</v>
      </c>
      <c r="H106">
        <v>106</v>
      </c>
      <c r="I106" t="s">
        <v>39</v>
      </c>
    </row>
    <row r="107" spans="1:11" x14ac:dyDescent="0.3">
      <c r="A107" t="s">
        <v>291</v>
      </c>
      <c r="B107" t="s">
        <v>31</v>
      </c>
      <c r="C107">
        <v>350</v>
      </c>
      <c r="D107" t="s">
        <v>18</v>
      </c>
      <c r="E107" t="s">
        <v>227</v>
      </c>
      <c r="F107" t="s">
        <v>15</v>
      </c>
      <c r="G107" t="s">
        <v>33</v>
      </c>
      <c r="H107">
        <v>29</v>
      </c>
      <c r="I107" t="s">
        <v>34</v>
      </c>
    </row>
    <row r="108" spans="1:11" x14ac:dyDescent="0.3">
      <c r="A108" t="s">
        <v>292</v>
      </c>
      <c r="B108" t="s">
        <v>60</v>
      </c>
      <c r="C108">
        <v>170</v>
      </c>
      <c r="D108" t="s">
        <v>18</v>
      </c>
      <c r="E108" t="s">
        <v>227</v>
      </c>
      <c r="F108" t="s">
        <v>15</v>
      </c>
      <c r="G108" t="s">
        <v>61</v>
      </c>
      <c r="H108">
        <v>443</v>
      </c>
      <c r="I108" t="s">
        <v>47</v>
      </c>
    </row>
    <row r="109" spans="1:11" x14ac:dyDescent="0.3">
      <c r="A109" t="s">
        <v>293</v>
      </c>
      <c r="B109" t="s">
        <v>157</v>
      </c>
      <c r="C109">
        <v>350</v>
      </c>
      <c r="D109" t="s">
        <v>92</v>
      </c>
      <c r="E109" t="s">
        <v>227</v>
      </c>
      <c r="F109" t="s">
        <v>15</v>
      </c>
      <c r="G109" t="s">
        <v>85</v>
      </c>
      <c r="H109">
        <v>323</v>
      </c>
      <c r="I109" t="s">
        <v>86</v>
      </c>
    </row>
    <row r="110" spans="1:11" x14ac:dyDescent="0.3">
      <c r="A110" t="s">
        <v>294</v>
      </c>
      <c r="B110" t="s">
        <v>295</v>
      </c>
      <c r="C110">
        <v>1600</v>
      </c>
      <c r="D110" t="s">
        <v>18</v>
      </c>
      <c r="E110" t="s">
        <v>227</v>
      </c>
      <c r="F110" t="s">
        <v>15</v>
      </c>
      <c r="G110" t="s">
        <v>296</v>
      </c>
      <c r="H110">
        <v>205</v>
      </c>
      <c r="I110" t="s">
        <v>29</v>
      </c>
    </row>
    <row r="111" spans="1:11" x14ac:dyDescent="0.3">
      <c r="A111" t="s">
        <v>294</v>
      </c>
      <c r="B111" t="s">
        <v>54</v>
      </c>
      <c r="C111">
        <v>200</v>
      </c>
      <c r="D111" t="s">
        <v>18</v>
      </c>
      <c r="E111" t="s">
        <v>227</v>
      </c>
      <c r="F111" t="s">
        <v>15</v>
      </c>
      <c r="G111" t="s">
        <v>55</v>
      </c>
      <c r="H111">
        <v>485</v>
      </c>
      <c r="I111" t="s">
        <v>47</v>
      </c>
    </row>
    <row r="112" spans="1:11" x14ac:dyDescent="0.3">
      <c r="A112" t="s">
        <v>297</v>
      </c>
      <c r="B112" t="s">
        <v>143</v>
      </c>
      <c r="C112">
        <v>200</v>
      </c>
      <c r="D112" t="s">
        <v>18</v>
      </c>
      <c r="E112" t="s">
        <v>227</v>
      </c>
      <c r="F112" t="s">
        <v>15</v>
      </c>
      <c r="G112" t="s">
        <v>144</v>
      </c>
      <c r="H112">
        <v>138</v>
      </c>
      <c r="I112" t="s">
        <v>145</v>
      </c>
    </row>
    <row r="113" spans="1:9" x14ac:dyDescent="0.3">
      <c r="A113" t="s">
        <v>297</v>
      </c>
      <c r="B113" t="s">
        <v>158</v>
      </c>
      <c r="C113">
        <v>300</v>
      </c>
      <c r="D113" t="s">
        <v>18</v>
      </c>
      <c r="E113" t="s">
        <v>227</v>
      </c>
      <c r="F113" t="s">
        <v>15</v>
      </c>
      <c r="G113" t="s">
        <v>159</v>
      </c>
      <c r="H113">
        <v>128</v>
      </c>
      <c r="I113" t="s">
        <v>39</v>
      </c>
    </row>
    <row r="114" spans="1:9" x14ac:dyDescent="0.3">
      <c r="A114" t="s">
        <v>298</v>
      </c>
      <c r="B114" t="s">
        <v>63</v>
      </c>
      <c r="C114">
        <v>170</v>
      </c>
      <c r="D114" t="s">
        <v>18</v>
      </c>
      <c r="E114" t="s">
        <v>227</v>
      </c>
      <c r="F114" t="s">
        <v>15</v>
      </c>
      <c r="G114" t="s">
        <v>64</v>
      </c>
      <c r="H114">
        <v>335</v>
      </c>
      <c r="I114" t="s">
        <v>25</v>
      </c>
    </row>
    <row r="115" spans="1:9" x14ac:dyDescent="0.3">
      <c r="A115" t="s">
        <v>298</v>
      </c>
      <c r="B115" t="s">
        <v>166</v>
      </c>
      <c r="C115">
        <v>350</v>
      </c>
      <c r="D115" t="s">
        <v>18</v>
      </c>
      <c r="E115" t="s">
        <v>227</v>
      </c>
      <c r="F115" t="s">
        <v>15</v>
      </c>
      <c r="G115" t="s">
        <v>167</v>
      </c>
      <c r="H115">
        <v>85</v>
      </c>
      <c r="I115" t="s">
        <v>94</v>
      </c>
    </row>
    <row r="116" spans="1:9" x14ac:dyDescent="0.3">
      <c r="A116" t="s">
        <v>298</v>
      </c>
      <c r="B116" t="s">
        <v>221</v>
      </c>
      <c r="C116">
        <v>300</v>
      </c>
      <c r="D116" t="s">
        <v>18</v>
      </c>
      <c r="E116" t="s">
        <v>227</v>
      </c>
      <c r="F116" t="s">
        <v>15</v>
      </c>
      <c r="G116" t="s">
        <v>222</v>
      </c>
      <c r="H116">
        <v>311</v>
      </c>
      <c r="I116" t="s">
        <v>25</v>
      </c>
    </row>
    <row r="117" spans="1:9" x14ac:dyDescent="0.3">
      <c r="A117" t="s">
        <v>299</v>
      </c>
      <c r="B117" t="s">
        <v>17</v>
      </c>
      <c r="C117">
        <v>300</v>
      </c>
      <c r="D117" t="s">
        <v>18</v>
      </c>
      <c r="E117" t="s">
        <v>227</v>
      </c>
      <c r="F117" t="s">
        <v>15</v>
      </c>
      <c r="G117" t="s">
        <v>20</v>
      </c>
      <c r="H117">
        <v>411</v>
      </c>
      <c r="I117" t="s">
        <v>21</v>
      </c>
    </row>
    <row r="118" spans="1:9" x14ac:dyDescent="0.3">
      <c r="A118" t="s">
        <v>299</v>
      </c>
      <c r="B118" t="s">
        <v>300</v>
      </c>
      <c r="C118">
        <v>150</v>
      </c>
      <c r="D118" t="s">
        <v>18</v>
      </c>
      <c r="E118" t="s">
        <v>227</v>
      </c>
      <c r="F118" t="s">
        <v>15</v>
      </c>
      <c r="G118" t="s">
        <v>188</v>
      </c>
      <c r="H118">
        <v>396</v>
      </c>
      <c r="I118" t="s">
        <v>21</v>
      </c>
    </row>
    <row r="119" spans="1:9" x14ac:dyDescent="0.3">
      <c r="A119" t="s">
        <v>301</v>
      </c>
      <c r="B119" t="s">
        <v>49</v>
      </c>
      <c r="C119">
        <v>300</v>
      </c>
      <c r="D119" t="s">
        <v>18</v>
      </c>
      <c r="E119" t="s">
        <v>227</v>
      </c>
      <c r="F119" t="s">
        <v>15</v>
      </c>
      <c r="G119" t="s">
        <v>51</v>
      </c>
      <c r="H119">
        <v>433</v>
      </c>
      <c r="I119" t="s">
        <v>47</v>
      </c>
    </row>
    <row r="120" spans="1:9" x14ac:dyDescent="0.3">
      <c r="A120" t="s">
        <v>301</v>
      </c>
      <c r="B120" t="s">
        <v>302</v>
      </c>
      <c r="C120">
        <v>350</v>
      </c>
      <c r="D120" t="s">
        <v>18</v>
      </c>
      <c r="E120" t="s">
        <v>227</v>
      </c>
      <c r="F120" t="s">
        <v>15</v>
      </c>
      <c r="G120" t="s">
        <v>303</v>
      </c>
      <c r="H120">
        <v>513</v>
      </c>
      <c r="I120" t="s">
        <v>304</v>
      </c>
    </row>
    <row r="121" spans="1:9" x14ac:dyDescent="0.3">
      <c r="A121" t="s">
        <v>305</v>
      </c>
      <c r="B121" t="s">
        <v>306</v>
      </c>
      <c r="C121">
        <v>500</v>
      </c>
      <c r="D121" t="s">
        <v>92</v>
      </c>
      <c r="E121" t="s">
        <v>227</v>
      </c>
      <c r="F121" t="s">
        <v>15</v>
      </c>
      <c r="G121" t="s">
        <v>124</v>
      </c>
      <c r="H121">
        <v>329</v>
      </c>
      <c r="I121" t="s">
        <v>105</v>
      </c>
    </row>
    <row r="122" spans="1:9" x14ac:dyDescent="0.3">
      <c r="A122" t="s">
        <v>305</v>
      </c>
      <c r="B122" t="s">
        <v>176</v>
      </c>
      <c r="C122">
        <v>350</v>
      </c>
      <c r="D122" t="s">
        <v>18</v>
      </c>
      <c r="E122" t="s">
        <v>227</v>
      </c>
      <c r="F122" t="s">
        <v>15</v>
      </c>
      <c r="G122" t="s">
        <v>177</v>
      </c>
      <c r="H122">
        <v>109</v>
      </c>
      <c r="I122" t="s">
        <v>178</v>
      </c>
    </row>
    <row r="123" spans="1:9" x14ac:dyDescent="0.3">
      <c r="A123" t="s">
        <v>305</v>
      </c>
      <c r="B123" t="s">
        <v>307</v>
      </c>
      <c r="C123">
        <v>510</v>
      </c>
      <c r="D123" t="s">
        <v>92</v>
      </c>
      <c r="E123" t="s">
        <v>227</v>
      </c>
      <c r="F123" t="s">
        <v>15</v>
      </c>
      <c r="G123" t="s">
        <v>181</v>
      </c>
      <c r="H123">
        <v>367</v>
      </c>
      <c r="I123" t="s">
        <v>105</v>
      </c>
    </row>
    <row r="124" spans="1:9" x14ac:dyDescent="0.3">
      <c r="A124" t="s">
        <v>305</v>
      </c>
      <c r="B124" t="s">
        <v>308</v>
      </c>
      <c r="C124">
        <v>500</v>
      </c>
      <c r="D124" t="s">
        <v>92</v>
      </c>
      <c r="E124" t="s">
        <v>227</v>
      </c>
      <c r="F124" t="s">
        <v>15</v>
      </c>
      <c r="G124" t="s">
        <v>104</v>
      </c>
      <c r="H124">
        <v>360</v>
      </c>
      <c r="I124" t="s">
        <v>105</v>
      </c>
    </row>
    <row r="125" spans="1:9" x14ac:dyDescent="0.3">
      <c r="A125" t="s">
        <v>305</v>
      </c>
      <c r="B125" t="s">
        <v>217</v>
      </c>
      <c r="C125">
        <v>170</v>
      </c>
      <c r="D125" t="s">
        <v>18</v>
      </c>
      <c r="E125" t="s">
        <v>227</v>
      </c>
      <c r="F125" t="s">
        <v>15</v>
      </c>
      <c r="G125" t="s">
        <v>218</v>
      </c>
      <c r="H125">
        <v>308</v>
      </c>
      <c r="I125" t="s">
        <v>219</v>
      </c>
    </row>
    <row r="126" spans="1:9" x14ac:dyDescent="0.3">
      <c r="A126" t="s">
        <v>309</v>
      </c>
      <c r="B126" t="s">
        <v>310</v>
      </c>
      <c r="C126">
        <v>500</v>
      </c>
      <c r="D126" t="s">
        <v>101</v>
      </c>
      <c r="E126" t="s">
        <v>227</v>
      </c>
      <c r="F126" t="s">
        <v>15</v>
      </c>
      <c r="G126" t="s">
        <v>311</v>
      </c>
      <c r="H126">
        <v>534</v>
      </c>
      <c r="I126" t="s">
        <v>312</v>
      </c>
    </row>
    <row r="127" spans="1:9" x14ac:dyDescent="0.3">
      <c r="A127" t="s">
        <v>309</v>
      </c>
      <c r="B127" t="s">
        <v>213</v>
      </c>
      <c r="C127">
        <v>400</v>
      </c>
      <c r="D127" t="s">
        <v>18</v>
      </c>
      <c r="E127" t="s">
        <v>227</v>
      </c>
      <c r="F127" t="s">
        <v>15</v>
      </c>
      <c r="G127" t="s">
        <v>214</v>
      </c>
      <c r="H127">
        <v>117</v>
      </c>
      <c r="I127" t="s">
        <v>178</v>
      </c>
    </row>
    <row r="128" spans="1:9" x14ac:dyDescent="0.3">
      <c r="A128" t="s">
        <v>313</v>
      </c>
      <c r="B128" t="s">
        <v>314</v>
      </c>
      <c r="C128">
        <v>200</v>
      </c>
      <c r="D128" t="s">
        <v>315</v>
      </c>
      <c r="E128" t="s">
        <v>316</v>
      </c>
      <c r="F128" t="s">
        <v>317</v>
      </c>
      <c r="G128" t="s">
        <v>316</v>
      </c>
      <c r="H128" t="s">
        <v>312</v>
      </c>
      <c r="I128" t="s">
        <v>318</v>
      </c>
    </row>
    <row r="129" spans="1:9" x14ac:dyDescent="0.3">
      <c r="A129" t="s">
        <v>301</v>
      </c>
      <c r="B129" t="s">
        <v>314</v>
      </c>
      <c r="C129">
        <v>200</v>
      </c>
      <c r="D129" t="s">
        <v>315</v>
      </c>
      <c r="E129" t="s">
        <v>316</v>
      </c>
      <c r="F129" t="s">
        <v>317</v>
      </c>
      <c r="G129" t="s">
        <v>316</v>
      </c>
      <c r="H129" t="s">
        <v>312</v>
      </c>
      <c r="I129" t="s">
        <v>318</v>
      </c>
    </row>
    <row r="130" spans="1:9" x14ac:dyDescent="0.3">
      <c r="A130" t="s">
        <v>305</v>
      </c>
      <c r="B130" t="s">
        <v>319</v>
      </c>
      <c r="C130">
        <v>500</v>
      </c>
      <c r="D130" t="s">
        <v>315</v>
      </c>
      <c r="E130" t="s">
        <v>316</v>
      </c>
      <c r="F130" t="s">
        <v>317</v>
      </c>
      <c r="G130" t="s">
        <v>316</v>
      </c>
      <c r="H130" t="s">
        <v>312</v>
      </c>
      <c r="I130" t="s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zoomScaleNormal="100" workbookViewId="0">
      <pane ySplit="1" topLeftCell="A8" activePane="bottomLeft" state="frozen"/>
      <selection pane="bottomLeft" activeCell="F29" sqref="F29"/>
    </sheetView>
  </sheetViews>
  <sheetFormatPr defaultColWidth="8.6640625" defaultRowHeight="14.4" x14ac:dyDescent="0.3"/>
  <cols>
    <col min="1" max="1" width="14" customWidth="1"/>
    <col min="2" max="2" width="36" customWidth="1"/>
    <col min="3" max="3" width="41.5546875" bestFit="1" customWidth="1"/>
    <col min="4" max="4" width="14" customWidth="1"/>
    <col min="5" max="5" width="42" customWidth="1"/>
  </cols>
  <sheetData>
    <row r="1" spans="1:5" x14ac:dyDescent="0.3">
      <c r="A1" s="60" t="s">
        <v>0</v>
      </c>
      <c r="B1" s="60" t="s">
        <v>2040</v>
      </c>
      <c r="C1" s="60" t="s">
        <v>3</v>
      </c>
      <c r="D1" s="60" t="s">
        <v>376</v>
      </c>
      <c r="E1" s="60" t="s">
        <v>10</v>
      </c>
    </row>
    <row r="2" spans="1:5" x14ac:dyDescent="0.3">
      <c r="A2" s="63" t="s">
        <v>11</v>
      </c>
      <c r="B2" s="64" t="s">
        <v>1821</v>
      </c>
      <c r="C2" s="64" t="s">
        <v>1822</v>
      </c>
      <c r="D2" s="162">
        <v>414.98</v>
      </c>
      <c r="E2" s="64" t="s">
        <v>1907</v>
      </c>
    </row>
    <row r="3" spans="1:5" x14ac:dyDescent="0.3">
      <c r="A3" s="61" t="s">
        <v>53</v>
      </c>
      <c r="B3" s="62" t="s">
        <v>1825</v>
      </c>
      <c r="C3" s="62" t="s">
        <v>1906</v>
      </c>
      <c r="D3" s="163">
        <v>4000</v>
      </c>
      <c r="E3" s="62" t="s">
        <v>1825</v>
      </c>
    </row>
    <row r="4" spans="1:5" x14ac:dyDescent="0.3">
      <c r="A4" s="63" t="s">
        <v>53</v>
      </c>
      <c r="B4" s="64" t="s">
        <v>1827</v>
      </c>
      <c r="C4" s="64" t="s">
        <v>1945</v>
      </c>
      <c r="D4" s="162">
        <v>471.51</v>
      </c>
      <c r="E4" s="64" t="s">
        <v>2041</v>
      </c>
    </row>
    <row r="5" spans="1:5" x14ac:dyDescent="0.3">
      <c r="A5" s="61" t="s">
        <v>53</v>
      </c>
      <c r="B5" s="62" t="s">
        <v>1830</v>
      </c>
      <c r="C5" s="62" t="s">
        <v>1832</v>
      </c>
      <c r="D5" s="163">
        <v>200</v>
      </c>
      <c r="E5" s="62" t="s">
        <v>1928</v>
      </c>
    </row>
    <row r="6" spans="1:5" x14ac:dyDescent="0.3">
      <c r="A6" s="63" t="s">
        <v>169</v>
      </c>
      <c r="B6" s="64" t="s">
        <v>1866</v>
      </c>
      <c r="C6" s="64" t="s">
        <v>1964</v>
      </c>
      <c r="D6" s="162">
        <v>12500</v>
      </c>
      <c r="E6" s="64" t="s">
        <v>1933</v>
      </c>
    </row>
    <row r="7" spans="1:5" x14ac:dyDescent="0.3">
      <c r="A7" s="61" t="s">
        <v>169</v>
      </c>
      <c r="B7" s="62" t="s">
        <v>1869</v>
      </c>
      <c r="C7" s="62" t="s">
        <v>1963</v>
      </c>
      <c r="D7" s="163">
        <v>3834</v>
      </c>
      <c r="E7" s="62" t="s">
        <v>1934</v>
      </c>
    </row>
    <row r="8" spans="1:5" x14ac:dyDescent="0.3">
      <c r="A8" s="63" t="s">
        <v>194</v>
      </c>
      <c r="B8" s="64" t="s">
        <v>1885</v>
      </c>
      <c r="C8" s="64" t="s">
        <v>1832</v>
      </c>
      <c r="D8" s="162">
        <v>350</v>
      </c>
      <c r="E8" s="64" t="s">
        <v>1928</v>
      </c>
    </row>
    <row r="9" spans="1:5" x14ac:dyDescent="0.3">
      <c r="A9" s="61" t="s">
        <v>1886</v>
      </c>
      <c r="B9" s="62" t="s">
        <v>1827</v>
      </c>
      <c r="C9" s="62" t="s">
        <v>1945</v>
      </c>
      <c r="D9" s="163">
        <v>471.51</v>
      </c>
      <c r="E9" s="62" t="s">
        <v>2041</v>
      </c>
    </row>
    <row r="10" spans="1:5" x14ac:dyDescent="0.3">
      <c r="A10" s="63" t="s">
        <v>209</v>
      </c>
      <c r="B10" s="64" t="s">
        <v>1890</v>
      </c>
      <c r="C10" s="64" t="s">
        <v>1951</v>
      </c>
      <c r="D10" s="162">
        <v>14500</v>
      </c>
      <c r="E10" s="64" t="s">
        <v>1924</v>
      </c>
    </row>
    <row r="11" spans="1:5" x14ac:dyDescent="0.3">
      <c r="A11" s="61" t="s">
        <v>224</v>
      </c>
      <c r="B11" s="62" t="s">
        <v>1895</v>
      </c>
      <c r="C11" s="62" t="s">
        <v>1822</v>
      </c>
      <c r="D11" s="163">
        <v>50</v>
      </c>
      <c r="E11" s="62" t="s">
        <v>1938</v>
      </c>
    </row>
    <row r="12" spans="1:5" x14ac:dyDescent="0.3">
      <c r="A12" s="66"/>
      <c r="B12" s="66"/>
      <c r="C12" s="269" t="s">
        <v>2042</v>
      </c>
      <c r="D12" s="270">
        <v>36792</v>
      </c>
      <c r="E12" s="66"/>
    </row>
    <row r="13" spans="1:5" ht="18" customHeight="1" x14ac:dyDescent="0.3">
      <c r="A13" s="274" t="s">
        <v>2043</v>
      </c>
    </row>
    <row r="14" spans="1:5" x14ac:dyDescent="0.3">
      <c r="A14" t="s">
        <v>225</v>
      </c>
      <c r="B14" t="s">
        <v>1904</v>
      </c>
      <c r="C14" t="s">
        <v>1822</v>
      </c>
      <c r="D14" s="271">
        <v>440.61</v>
      </c>
      <c r="E14" t="s">
        <v>1907</v>
      </c>
    </row>
    <row r="15" spans="1:5" x14ac:dyDescent="0.3">
      <c r="A15" t="s">
        <v>231</v>
      </c>
      <c r="B15" t="s">
        <v>2044</v>
      </c>
      <c r="C15" t="s">
        <v>2045</v>
      </c>
      <c r="D15" s="271">
        <v>3458</v>
      </c>
      <c r="E15" t="s">
        <v>2046</v>
      </c>
    </row>
    <row r="16" spans="1:5" x14ac:dyDescent="0.3">
      <c r="A16" t="s">
        <v>1922</v>
      </c>
      <c r="B16" t="s">
        <v>1890</v>
      </c>
      <c r="C16" t="s">
        <v>1951</v>
      </c>
      <c r="D16" s="271">
        <v>14502</v>
      </c>
      <c r="E16" t="s">
        <v>1924</v>
      </c>
    </row>
    <row r="17" spans="1:5" x14ac:dyDescent="0.3">
      <c r="A17" t="s">
        <v>1926</v>
      </c>
      <c r="B17" t="s">
        <v>1830</v>
      </c>
      <c r="C17" t="s">
        <v>1832</v>
      </c>
      <c r="D17" s="271">
        <v>170</v>
      </c>
      <c r="E17" t="s">
        <v>2047</v>
      </c>
    </row>
    <row r="18" spans="1:5" x14ac:dyDescent="0.3">
      <c r="A18" t="s">
        <v>270</v>
      </c>
      <c r="B18" t="s">
        <v>1866</v>
      </c>
      <c r="C18" t="s">
        <v>1964</v>
      </c>
      <c r="D18" s="271">
        <v>12506</v>
      </c>
      <c r="E18" t="s">
        <v>1933</v>
      </c>
    </row>
    <row r="19" spans="1:5" x14ac:dyDescent="0.3">
      <c r="A19" t="s">
        <v>270</v>
      </c>
      <c r="B19" t="s">
        <v>1869</v>
      </c>
      <c r="C19" t="s">
        <v>1963</v>
      </c>
      <c r="D19" s="271">
        <v>4756</v>
      </c>
      <c r="E19" t="s">
        <v>1934</v>
      </c>
    </row>
    <row r="20" spans="1:5" x14ac:dyDescent="0.3">
      <c r="A20" t="s">
        <v>281</v>
      </c>
      <c r="B20" t="s">
        <v>1885</v>
      </c>
      <c r="C20" t="s">
        <v>1832</v>
      </c>
      <c r="D20" s="271">
        <v>350</v>
      </c>
      <c r="E20" t="s">
        <v>2048</v>
      </c>
    </row>
    <row r="21" spans="1:5" x14ac:dyDescent="0.3">
      <c r="A21" t="s">
        <v>285</v>
      </c>
      <c r="B21" t="s">
        <v>1895</v>
      </c>
      <c r="C21" t="s">
        <v>1822</v>
      </c>
      <c r="D21" s="271">
        <v>50</v>
      </c>
      <c r="E21" t="s">
        <v>1938</v>
      </c>
    </row>
    <row r="22" spans="1:5" x14ac:dyDescent="0.3">
      <c r="C22" s="269" t="s">
        <v>2049</v>
      </c>
      <c r="D22" s="270">
        <v>36232.61</v>
      </c>
    </row>
    <row r="23" spans="1:5" x14ac:dyDescent="0.3">
      <c r="A23" t="s">
        <v>2050</v>
      </c>
      <c r="C23" s="272"/>
      <c r="D23" s="273"/>
    </row>
    <row r="24" spans="1:5" x14ac:dyDescent="0.3">
      <c r="A24" t="s">
        <v>290</v>
      </c>
      <c r="B24" t="s">
        <v>1827</v>
      </c>
      <c r="C24" t="s">
        <v>1945</v>
      </c>
      <c r="D24">
        <v>574</v>
      </c>
      <c r="E24" t="s">
        <v>2051</v>
      </c>
    </row>
    <row r="25" spans="1:5" x14ac:dyDescent="0.3">
      <c r="A25" t="s">
        <v>291</v>
      </c>
      <c r="B25" t="s">
        <v>1946</v>
      </c>
      <c r="C25" t="s">
        <v>1822</v>
      </c>
      <c r="D25">
        <v>462.45</v>
      </c>
      <c r="E25" t="s">
        <v>2052</v>
      </c>
    </row>
    <row r="26" spans="1:5" x14ac:dyDescent="0.3">
      <c r="A26" t="s">
        <v>291</v>
      </c>
      <c r="B26" t="s">
        <v>1947</v>
      </c>
      <c r="C26" t="s">
        <v>1832</v>
      </c>
      <c r="D26">
        <v>350</v>
      </c>
      <c r="E26" t="s">
        <v>2053</v>
      </c>
    </row>
    <row r="27" spans="1:5" x14ac:dyDescent="0.3">
      <c r="A27" t="s">
        <v>1950</v>
      </c>
      <c r="B27" t="s">
        <v>1890</v>
      </c>
      <c r="C27" t="s">
        <v>1951</v>
      </c>
      <c r="D27">
        <v>16820.060000000001</v>
      </c>
      <c r="E27" t="s">
        <v>2054</v>
      </c>
    </row>
    <row r="28" spans="1:5" x14ac:dyDescent="0.3">
      <c r="A28" t="s">
        <v>1950</v>
      </c>
      <c r="B28" t="s">
        <v>1952</v>
      </c>
      <c r="C28" t="s">
        <v>1953</v>
      </c>
      <c r="D28">
        <v>502</v>
      </c>
      <c r="E28" t="s">
        <v>2055</v>
      </c>
    </row>
    <row r="29" spans="1:5" x14ac:dyDescent="0.3">
      <c r="A29" t="s">
        <v>1957</v>
      </c>
      <c r="B29" t="s">
        <v>1830</v>
      </c>
      <c r="C29" t="s">
        <v>1832</v>
      </c>
      <c r="D29">
        <v>170</v>
      </c>
      <c r="E29" t="s">
        <v>2056</v>
      </c>
    </row>
    <row r="30" spans="1:5" x14ac:dyDescent="0.3">
      <c r="A30" t="s">
        <v>297</v>
      </c>
      <c r="B30" t="s">
        <v>1869</v>
      </c>
      <c r="C30" t="s">
        <v>1963</v>
      </c>
      <c r="D30">
        <v>4752</v>
      </c>
      <c r="E30" t="s">
        <v>2057</v>
      </c>
    </row>
    <row r="31" spans="1:5" x14ac:dyDescent="0.3">
      <c r="A31" t="s">
        <v>297</v>
      </c>
      <c r="B31" t="s">
        <v>1866</v>
      </c>
      <c r="C31" t="s">
        <v>1964</v>
      </c>
      <c r="D31">
        <v>12502</v>
      </c>
      <c r="E31" t="s">
        <v>2058</v>
      </c>
    </row>
    <row r="32" spans="1:5" x14ac:dyDescent="0.3">
      <c r="A32" t="s">
        <v>305</v>
      </c>
      <c r="B32" t="s">
        <v>2059</v>
      </c>
      <c r="C32" s="275" t="s">
        <v>1822</v>
      </c>
      <c r="D32" s="275">
        <v>29.54</v>
      </c>
      <c r="E32" t="s">
        <v>2060</v>
      </c>
    </row>
    <row r="33" spans="1:5" x14ac:dyDescent="0.3">
      <c r="A33" t="s">
        <v>1968</v>
      </c>
      <c r="B33" t="s">
        <v>1895</v>
      </c>
      <c r="C33" s="275" t="s">
        <v>1822</v>
      </c>
      <c r="D33" s="275">
        <v>50</v>
      </c>
      <c r="E33" t="s">
        <v>1938</v>
      </c>
    </row>
    <row r="34" spans="1:5" x14ac:dyDescent="0.3">
      <c r="C34" t="s">
        <v>2061</v>
      </c>
      <c r="D34">
        <v>36212.050000000003</v>
      </c>
    </row>
    <row r="35" spans="1:5" x14ac:dyDescent="0.3">
      <c r="C35" t="s">
        <v>2062</v>
      </c>
      <c r="D35">
        <v>109236.66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topLeftCell="A14" zoomScaleNormal="100" workbookViewId="0"/>
  </sheetViews>
  <sheetFormatPr defaultColWidth="8.6640625" defaultRowHeight="14.4" x14ac:dyDescent="0.3"/>
  <cols>
    <col min="1" max="1" width="2.77734375" customWidth="1"/>
    <col min="2" max="2" width="31.88671875" customWidth="1"/>
    <col min="3" max="3" width="22.21875" customWidth="1"/>
    <col min="4" max="4" width="13.88671875" customWidth="1"/>
  </cols>
  <sheetData>
    <row r="1" spans="1:4" ht="18" customHeight="1" x14ac:dyDescent="0.35">
      <c r="A1" s="67"/>
      <c r="B1" s="67"/>
      <c r="C1" s="67"/>
      <c r="D1" s="67"/>
    </row>
    <row r="2" spans="1:4" ht="21" customHeight="1" x14ac:dyDescent="0.35">
      <c r="A2" s="67"/>
      <c r="B2" s="68" t="s">
        <v>2063</v>
      </c>
      <c r="C2" s="67"/>
      <c r="D2" s="67"/>
    </row>
    <row r="3" spans="1:4" ht="18" customHeight="1" x14ac:dyDescent="0.35">
      <c r="A3" s="67"/>
      <c r="B3" s="69" t="s">
        <v>2064</v>
      </c>
      <c r="C3" s="67"/>
      <c r="D3" s="67"/>
    </row>
    <row r="4" spans="1:4" ht="18" customHeight="1" x14ac:dyDescent="0.35">
      <c r="A4" s="67"/>
      <c r="B4" s="67"/>
      <c r="C4" s="67"/>
      <c r="D4" s="67"/>
    </row>
    <row r="5" spans="1:4" ht="18" customHeight="1" x14ac:dyDescent="0.35">
      <c r="A5" s="67"/>
      <c r="B5" s="70" t="s">
        <v>2065</v>
      </c>
      <c r="C5" s="67"/>
      <c r="D5" s="67"/>
    </row>
    <row r="6" spans="1:4" ht="18" customHeight="1" x14ac:dyDescent="0.35">
      <c r="A6" s="67"/>
      <c r="B6" s="67"/>
      <c r="C6" s="67"/>
      <c r="D6" s="67"/>
    </row>
    <row r="7" spans="1:4" ht="18" customHeight="1" x14ac:dyDescent="0.35">
      <c r="A7" s="67"/>
      <c r="B7" s="71" t="s">
        <v>2066</v>
      </c>
      <c r="C7" s="67"/>
      <c r="D7" s="72">
        <v>533</v>
      </c>
    </row>
    <row r="8" spans="1:4" ht="18" customHeight="1" x14ac:dyDescent="0.35">
      <c r="A8" s="67"/>
      <c r="B8" s="73" t="s">
        <v>2067</v>
      </c>
      <c r="C8" s="67"/>
      <c r="D8" s="74">
        <v>132</v>
      </c>
    </row>
    <row r="9" spans="1:4" ht="18" customHeight="1" x14ac:dyDescent="0.35">
      <c r="A9" s="67"/>
      <c r="B9" s="75" t="s">
        <v>2068</v>
      </c>
      <c r="C9" s="67"/>
      <c r="D9" s="76">
        <v>401</v>
      </c>
    </row>
    <row r="10" spans="1:4" ht="18" customHeight="1" x14ac:dyDescent="0.35">
      <c r="A10" s="67"/>
      <c r="B10" s="67"/>
      <c r="C10" s="67"/>
      <c r="D10" s="67"/>
    </row>
    <row r="11" spans="1:4" ht="18" customHeight="1" x14ac:dyDescent="0.35">
      <c r="A11" s="67"/>
      <c r="B11" s="77" t="s">
        <v>2069</v>
      </c>
      <c r="C11" s="67"/>
      <c r="D11" s="78">
        <v>184</v>
      </c>
    </row>
    <row r="12" spans="1:4" ht="18" customHeight="1" x14ac:dyDescent="0.35">
      <c r="A12" s="67"/>
      <c r="B12" s="79" t="s">
        <v>2070</v>
      </c>
      <c r="C12" s="67"/>
      <c r="D12" s="80">
        <v>118</v>
      </c>
    </row>
    <row r="13" spans="1:4" ht="18" customHeight="1" x14ac:dyDescent="0.35">
      <c r="A13" s="67"/>
      <c r="B13" s="67"/>
      <c r="C13" s="67"/>
      <c r="D13" s="67"/>
    </row>
    <row r="14" spans="1:4" ht="18" customHeight="1" x14ac:dyDescent="0.35">
      <c r="A14" s="67"/>
      <c r="B14" s="81" t="s">
        <v>2071</v>
      </c>
      <c r="C14" s="67"/>
      <c r="D14" s="82">
        <v>372684</v>
      </c>
    </row>
    <row r="15" spans="1:4" ht="18" customHeight="1" x14ac:dyDescent="0.35">
      <c r="A15" s="67"/>
      <c r="B15" s="67"/>
      <c r="C15" s="67"/>
      <c r="D15" s="67"/>
    </row>
    <row r="16" spans="1:4" ht="18" customHeight="1" x14ac:dyDescent="0.35">
      <c r="A16" s="67"/>
      <c r="B16" s="83" t="s">
        <v>367</v>
      </c>
      <c r="C16" s="67"/>
      <c r="D16" s="84">
        <v>0.25</v>
      </c>
    </row>
    <row r="17" spans="1:4" ht="18" customHeight="1" x14ac:dyDescent="0.35">
      <c r="A17" s="67"/>
      <c r="B17" s="85" t="s">
        <v>2072</v>
      </c>
      <c r="C17" s="67"/>
      <c r="D17" s="67"/>
    </row>
    <row r="18" spans="1:4" ht="18" customHeight="1" x14ac:dyDescent="0.35">
      <c r="A18" s="67"/>
      <c r="B18" s="67"/>
      <c r="C18" s="67"/>
      <c r="D18" s="67"/>
    </row>
    <row r="19" spans="1:4" ht="18" customHeight="1" x14ac:dyDescent="0.35">
      <c r="A19" s="67"/>
      <c r="B19" s="70" t="s">
        <v>2073</v>
      </c>
      <c r="C19" s="67"/>
      <c r="D19" s="67"/>
    </row>
    <row r="20" spans="1:4" ht="18" customHeight="1" x14ac:dyDescent="0.35">
      <c r="A20" s="67"/>
      <c r="B20" s="67"/>
      <c r="C20" s="67"/>
      <c r="D20" s="67"/>
    </row>
    <row r="21" spans="1:4" ht="18" customHeight="1" x14ac:dyDescent="0.35">
      <c r="A21" s="67"/>
      <c r="B21" s="86" t="s">
        <v>358</v>
      </c>
      <c r="C21" s="86" t="s">
        <v>2074</v>
      </c>
      <c r="D21" s="86" t="s">
        <v>360</v>
      </c>
    </row>
    <row r="22" spans="1:4" ht="18" customHeight="1" x14ac:dyDescent="0.35">
      <c r="A22" s="67"/>
      <c r="B22" s="87">
        <v>46106</v>
      </c>
      <c r="C22" s="88">
        <v>26778</v>
      </c>
      <c r="D22" s="89">
        <v>79</v>
      </c>
    </row>
    <row r="23" spans="1:4" ht="18" customHeight="1" x14ac:dyDescent="0.35">
      <c r="A23" s="67"/>
      <c r="B23" s="90">
        <v>46137</v>
      </c>
      <c r="C23" s="91">
        <v>25841</v>
      </c>
      <c r="D23" s="92">
        <v>78</v>
      </c>
    </row>
    <row r="24" spans="1:4" ht="18" customHeight="1" x14ac:dyDescent="0.35">
      <c r="A24" s="67"/>
      <c r="B24" s="87">
        <v>46167</v>
      </c>
      <c r="C24" s="88">
        <v>25108</v>
      </c>
      <c r="D24" s="89">
        <v>74</v>
      </c>
    </row>
    <row r="25" spans="1:4" ht="18" customHeight="1" x14ac:dyDescent="0.35">
      <c r="A25" s="67"/>
      <c r="B25" s="90">
        <v>46198</v>
      </c>
      <c r="C25" s="91">
        <v>24028</v>
      </c>
      <c r="D25" s="92">
        <v>70</v>
      </c>
    </row>
    <row r="26" spans="1:4" ht="18" customHeight="1" x14ac:dyDescent="0.35">
      <c r="A26" s="67"/>
      <c r="B26" s="87">
        <v>46228</v>
      </c>
      <c r="C26" s="88">
        <v>30233</v>
      </c>
      <c r="D26" s="89">
        <v>71</v>
      </c>
    </row>
    <row r="27" spans="1:4" ht="18" customHeight="1" x14ac:dyDescent="0.35">
      <c r="A27" s="67"/>
      <c r="B27" s="90">
        <v>46259</v>
      </c>
      <c r="C27" s="91">
        <v>26733</v>
      </c>
      <c r="D27" s="92">
        <v>68</v>
      </c>
    </row>
    <row r="28" spans="1:4" ht="18" customHeight="1" x14ac:dyDescent="0.35">
      <c r="A28" s="67"/>
      <c r="B28" s="87">
        <v>46290</v>
      </c>
      <c r="C28" s="88">
        <v>24183</v>
      </c>
      <c r="D28" s="89">
        <v>70</v>
      </c>
    </row>
    <row r="29" spans="1:4" ht="18" customHeight="1" x14ac:dyDescent="0.35">
      <c r="A29" s="67"/>
      <c r="B29" s="90">
        <v>46320</v>
      </c>
      <c r="C29" s="91">
        <v>21583</v>
      </c>
      <c r="D29" s="92">
        <v>64</v>
      </c>
    </row>
    <row r="30" spans="1:4" ht="18" customHeight="1" x14ac:dyDescent="0.35">
      <c r="A30" s="67"/>
      <c r="B30" s="87">
        <v>46351</v>
      </c>
      <c r="C30" s="88">
        <v>22883</v>
      </c>
      <c r="D30" s="89">
        <v>66</v>
      </c>
    </row>
    <row r="31" spans="1:4" ht="18" customHeight="1" x14ac:dyDescent="0.35">
      <c r="A31" s="67"/>
      <c r="B31" s="90">
        <v>46381</v>
      </c>
      <c r="C31" s="91">
        <v>24233</v>
      </c>
      <c r="D31" s="92">
        <v>69</v>
      </c>
    </row>
    <row r="32" spans="1:4" ht="18" customHeight="1" x14ac:dyDescent="0.35">
      <c r="A32" s="67"/>
      <c r="B32" s="87">
        <v>46048</v>
      </c>
      <c r="C32" s="88">
        <v>32833</v>
      </c>
      <c r="D32" s="89">
        <v>66</v>
      </c>
    </row>
    <row r="33" spans="1:4" ht="18" customHeight="1" x14ac:dyDescent="0.35">
      <c r="A33" s="67"/>
      <c r="B33" s="90">
        <v>46079</v>
      </c>
      <c r="C33" s="91">
        <v>27373</v>
      </c>
      <c r="D33" s="92">
        <v>75</v>
      </c>
    </row>
    <row r="34" spans="1:4" ht="18" customHeight="1" x14ac:dyDescent="0.35">
      <c r="A34" s="67"/>
      <c r="B34" s="87">
        <v>46107</v>
      </c>
      <c r="C34" s="88">
        <v>60875</v>
      </c>
      <c r="D34" s="89">
        <v>101</v>
      </c>
    </row>
    <row r="35" spans="1:4" ht="18" customHeight="1" x14ac:dyDescent="0.3">
      <c r="B35" s="277">
        <v>46138</v>
      </c>
      <c r="C35">
        <v>35525</v>
      </c>
      <c r="D35">
        <v>76</v>
      </c>
    </row>
    <row r="36" spans="1:4" x14ac:dyDescent="0.3">
      <c r="B36" s="277">
        <v>46168</v>
      </c>
      <c r="C36">
        <v>29945</v>
      </c>
      <c r="D36">
        <v>79</v>
      </c>
    </row>
    <row r="37" spans="1:4" ht="18" x14ac:dyDescent="0.35">
      <c r="A37" s="67"/>
      <c r="B37" s="93" t="s">
        <v>373</v>
      </c>
      <c r="C37" s="94"/>
      <c r="D37" s="9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96"/>
  <sheetViews>
    <sheetView topLeftCell="A9" zoomScaleNormal="100" workbookViewId="0"/>
  </sheetViews>
  <sheetFormatPr defaultColWidth="8.6640625" defaultRowHeight="14.4" x14ac:dyDescent="0.3"/>
  <cols>
    <col min="1" max="1" width="30.5546875" customWidth="1"/>
    <col min="2" max="2" width="29.109375" customWidth="1"/>
    <col min="3" max="3" width="13.44140625" customWidth="1"/>
    <col min="4" max="4" width="18.109375" customWidth="1"/>
  </cols>
  <sheetData>
    <row r="1" spans="1:5" ht="18" customHeight="1" x14ac:dyDescent="0.35">
      <c r="A1" s="96" t="s">
        <v>2075</v>
      </c>
      <c r="B1" s="67"/>
      <c r="C1" s="67"/>
      <c r="D1" s="67"/>
      <c r="E1" s="67"/>
    </row>
    <row r="2" spans="1:5" ht="18" customHeight="1" x14ac:dyDescent="0.35">
      <c r="A2" s="85" t="s">
        <v>2076</v>
      </c>
      <c r="B2" s="67"/>
      <c r="C2" s="67"/>
      <c r="D2" s="67"/>
      <c r="E2" s="67"/>
    </row>
    <row r="3" spans="1:5" ht="18" customHeight="1" x14ac:dyDescent="0.35">
      <c r="A3" s="67"/>
      <c r="B3" s="67"/>
      <c r="C3" s="67"/>
      <c r="D3" s="67"/>
      <c r="E3" s="67"/>
    </row>
    <row r="4" spans="1:5" ht="18" customHeight="1" x14ac:dyDescent="0.35">
      <c r="A4" s="97" t="s">
        <v>2077</v>
      </c>
      <c r="B4" s="67"/>
      <c r="C4" s="67"/>
      <c r="D4" s="67"/>
      <c r="E4" s="67"/>
    </row>
    <row r="5" spans="1:5" ht="18" customHeight="1" x14ac:dyDescent="0.3">
      <c r="A5" s="98" t="s">
        <v>401</v>
      </c>
      <c r="B5" s="98" t="s">
        <v>2078</v>
      </c>
      <c r="C5" s="99" t="s">
        <v>9</v>
      </c>
      <c r="D5" s="98" t="s">
        <v>2079</v>
      </c>
      <c r="E5" s="98" t="s">
        <v>2080</v>
      </c>
    </row>
    <row r="6" spans="1:5" ht="18" customHeight="1" x14ac:dyDescent="0.3">
      <c r="A6" s="100" t="s">
        <v>1772</v>
      </c>
      <c r="B6" s="100" t="s">
        <v>1768</v>
      </c>
      <c r="C6" s="101">
        <v>8</v>
      </c>
      <c r="D6" s="102">
        <v>4550</v>
      </c>
      <c r="E6" s="100"/>
    </row>
    <row r="7" spans="1:5" ht="18" customHeight="1" x14ac:dyDescent="0.35">
      <c r="A7" s="103" t="s">
        <v>439</v>
      </c>
      <c r="B7" s="103" t="s">
        <v>34</v>
      </c>
      <c r="C7" s="92">
        <v>1</v>
      </c>
      <c r="D7" s="91">
        <v>4550</v>
      </c>
      <c r="E7" s="67"/>
    </row>
    <row r="8" spans="1:5" ht="18" customHeight="1" x14ac:dyDescent="0.3">
      <c r="A8" s="100" t="s">
        <v>272</v>
      </c>
      <c r="B8" s="100" t="s">
        <v>34</v>
      </c>
      <c r="C8" s="101">
        <v>10</v>
      </c>
      <c r="D8" s="102">
        <v>4550</v>
      </c>
      <c r="E8" s="100"/>
    </row>
    <row r="9" spans="1:5" ht="18" customHeight="1" x14ac:dyDescent="0.35">
      <c r="A9" s="103" t="s">
        <v>33</v>
      </c>
      <c r="B9" s="103" t="s">
        <v>34</v>
      </c>
      <c r="C9" s="92">
        <v>11</v>
      </c>
      <c r="D9" s="91">
        <v>3500</v>
      </c>
      <c r="E9" s="67"/>
    </row>
    <row r="10" spans="1:5" ht="18" customHeight="1" x14ac:dyDescent="0.3">
      <c r="A10" s="100" t="s">
        <v>206</v>
      </c>
      <c r="B10" s="100" t="s">
        <v>21</v>
      </c>
      <c r="C10" s="101">
        <v>91</v>
      </c>
      <c r="D10" s="102">
        <v>5050</v>
      </c>
      <c r="E10" s="100"/>
    </row>
    <row r="11" spans="1:5" ht="18" customHeight="1" x14ac:dyDescent="0.35">
      <c r="A11" s="103" t="s">
        <v>1318</v>
      </c>
      <c r="B11" s="103" t="s">
        <v>21</v>
      </c>
      <c r="C11" s="92">
        <v>93</v>
      </c>
      <c r="D11" s="91">
        <v>4719</v>
      </c>
      <c r="E11" s="67"/>
    </row>
    <row r="12" spans="1:5" ht="18" customHeight="1" x14ac:dyDescent="0.3">
      <c r="A12" s="100" t="s">
        <v>1388</v>
      </c>
      <c r="B12" s="100" t="s">
        <v>21</v>
      </c>
      <c r="C12" s="101">
        <v>101</v>
      </c>
      <c r="D12" s="102">
        <v>4550</v>
      </c>
      <c r="E12" s="100"/>
    </row>
    <row r="13" spans="1:5" ht="18" customHeight="1" x14ac:dyDescent="0.35">
      <c r="A13" s="103" t="s">
        <v>1411</v>
      </c>
      <c r="B13" s="103" t="s">
        <v>21</v>
      </c>
      <c r="C13" s="92">
        <v>104</v>
      </c>
      <c r="D13" s="91">
        <v>350</v>
      </c>
      <c r="E13" s="67"/>
    </row>
    <row r="14" spans="1:5" ht="18" customHeight="1" x14ac:dyDescent="0.3">
      <c r="A14" s="100" t="s">
        <v>188</v>
      </c>
      <c r="B14" s="100" t="s">
        <v>21</v>
      </c>
      <c r="C14" s="101">
        <v>108</v>
      </c>
      <c r="D14" s="102">
        <v>850</v>
      </c>
      <c r="E14" s="100"/>
    </row>
    <row r="15" spans="1:5" ht="18" customHeight="1" x14ac:dyDescent="0.35">
      <c r="A15" s="103" t="s">
        <v>173</v>
      </c>
      <c r="B15" s="103" t="s">
        <v>21</v>
      </c>
      <c r="C15" s="92">
        <v>110</v>
      </c>
      <c r="D15" s="91">
        <v>1000</v>
      </c>
      <c r="E15" s="67"/>
    </row>
    <row r="16" spans="1:5" ht="18" customHeight="1" x14ac:dyDescent="0.3">
      <c r="A16" s="100" t="s">
        <v>20</v>
      </c>
      <c r="B16" s="100" t="s">
        <v>21</v>
      </c>
      <c r="C16" s="101">
        <v>116</v>
      </c>
      <c r="D16" s="102">
        <v>3600</v>
      </c>
      <c r="E16" s="100"/>
    </row>
    <row r="17" spans="1:5" ht="18" customHeight="1" x14ac:dyDescent="0.35">
      <c r="A17" s="103" t="s">
        <v>1499</v>
      </c>
      <c r="B17" s="103" t="s">
        <v>399</v>
      </c>
      <c r="C17" s="92">
        <v>143</v>
      </c>
      <c r="D17" s="91">
        <v>1200</v>
      </c>
      <c r="E17" s="67"/>
    </row>
    <row r="18" spans="1:5" ht="18" customHeight="1" x14ac:dyDescent="0.3">
      <c r="A18" s="100" t="s">
        <v>167</v>
      </c>
      <c r="B18" s="100" t="s">
        <v>94</v>
      </c>
      <c r="C18" s="101">
        <v>30</v>
      </c>
      <c r="D18" s="102">
        <v>4550</v>
      </c>
      <c r="E18" s="100"/>
    </row>
    <row r="19" spans="1:5" ht="18" customHeight="1" x14ac:dyDescent="0.35">
      <c r="A19" s="103" t="s">
        <v>706</v>
      </c>
      <c r="B19" s="103" t="s">
        <v>94</v>
      </c>
      <c r="C19" s="92">
        <v>36</v>
      </c>
      <c r="D19" s="91">
        <v>170</v>
      </c>
      <c r="E19" s="67"/>
    </row>
    <row r="20" spans="1:5" ht="18" customHeight="1" x14ac:dyDescent="0.3">
      <c r="A20" s="100" t="s">
        <v>108</v>
      </c>
      <c r="B20" s="100" t="s">
        <v>94</v>
      </c>
      <c r="C20" s="101">
        <v>38</v>
      </c>
      <c r="D20" s="102">
        <v>6220</v>
      </c>
      <c r="E20" s="100"/>
    </row>
    <row r="21" spans="1:5" ht="18" customHeight="1" x14ac:dyDescent="0.35">
      <c r="A21" s="103" t="s">
        <v>256</v>
      </c>
      <c r="B21" s="103" t="s">
        <v>94</v>
      </c>
      <c r="C21" s="92">
        <v>42</v>
      </c>
      <c r="D21" s="91">
        <v>610</v>
      </c>
      <c r="E21" s="67"/>
    </row>
    <row r="22" spans="1:5" ht="18" customHeight="1" x14ac:dyDescent="0.3">
      <c r="A22" s="100" t="s">
        <v>793</v>
      </c>
      <c r="B22" s="100" t="s">
        <v>94</v>
      </c>
      <c r="C22" s="101">
        <v>43</v>
      </c>
      <c r="D22" s="102">
        <v>660</v>
      </c>
      <c r="E22" s="100"/>
    </row>
    <row r="23" spans="1:5" ht="18" customHeight="1" x14ac:dyDescent="0.35">
      <c r="A23" s="103" t="s">
        <v>162</v>
      </c>
      <c r="B23" s="103" t="s">
        <v>94</v>
      </c>
      <c r="C23" s="92">
        <v>45</v>
      </c>
      <c r="D23" s="91">
        <v>400</v>
      </c>
      <c r="E23" s="67"/>
    </row>
    <row r="24" spans="1:5" ht="18" customHeight="1" x14ac:dyDescent="0.3">
      <c r="A24" s="100" t="s">
        <v>834</v>
      </c>
      <c r="B24" s="100" t="s">
        <v>94</v>
      </c>
      <c r="C24" s="101">
        <v>47</v>
      </c>
      <c r="D24" s="102">
        <v>4719</v>
      </c>
      <c r="E24" s="100"/>
    </row>
    <row r="25" spans="1:5" ht="18" customHeight="1" x14ac:dyDescent="0.35">
      <c r="A25" s="103" t="s">
        <v>267</v>
      </c>
      <c r="B25" s="103" t="s">
        <v>94</v>
      </c>
      <c r="C25" s="92">
        <v>51</v>
      </c>
      <c r="D25" s="91">
        <v>330</v>
      </c>
      <c r="E25" s="67"/>
    </row>
    <row r="26" spans="1:5" ht="18" customHeight="1" x14ac:dyDescent="0.3">
      <c r="A26" s="100" t="s">
        <v>930</v>
      </c>
      <c r="B26" s="100" t="s">
        <v>94</v>
      </c>
      <c r="C26" s="101">
        <v>53</v>
      </c>
      <c r="D26" s="102">
        <v>6500</v>
      </c>
      <c r="E26" s="100"/>
    </row>
    <row r="27" spans="1:5" ht="18" customHeight="1" x14ac:dyDescent="0.35">
      <c r="A27" s="103" t="s">
        <v>121</v>
      </c>
      <c r="B27" s="103" t="s">
        <v>94</v>
      </c>
      <c r="C27" s="92">
        <v>55</v>
      </c>
      <c r="D27" s="91">
        <v>500</v>
      </c>
      <c r="E27" s="67"/>
    </row>
    <row r="28" spans="1:5" ht="18" customHeight="1" x14ac:dyDescent="0.3">
      <c r="A28" s="100" t="s">
        <v>93</v>
      </c>
      <c r="B28" s="100" t="s">
        <v>94</v>
      </c>
      <c r="C28" s="101">
        <v>57</v>
      </c>
      <c r="D28" s="102">
        <v>3050</v>
      </c>
      <c r="E28" s="100"/>
    </row>
    <row r="29" spans="1:5" ht="18" customHeight="1" x14ac:dyDescent="0.35">
      <c r="A29" s="103" t="s">
        <v>211</v>
      </c>
      <c r="B29" s="103" t="s">
        <v>94</v>
      </c>
      <c r="C29" s="92">
        <v>59</v>
      </c>
      <c r="D29" s="91">
        <v>3852</v>
      </c>
      <c r="E29" s="67"/>
    </row>
    <row r="30" spans="1:5" ht="18" customHeight="1" x14ac:dyDescent="0.3">
      <c r="A30" s="100" t="s">
        <v>197</v>
      </c>
      <c r="B30" s="100" t="s">
        <v>68</v>
      </c>
      <c r="C30" s="101">
        <v>46</v>
      </c>
      <c r="D30" s="102">
        <v>5050</v>
      </c>
      <c r="E30" s="100"/>
    </row>
    <row r="31" spans="1:5" ht="18" customHeight="1" x14ac:dyDescent="0.35">
      <c r="A31" s="103" t="s">
        <v>67</v>
      </c>
      <c r="B31" s="103" t="s">
        <v>68</v>
      </c>
      <c r="C31" s="92">
        <v>69</v>
      </c>
      <c r="D31" s="91">
        <v>1400</v>
      </c>
      <c r="E31" s="67"/>
    </row>
    <row r="32" spans="1:5" ht="18" customHeight="1" x14ac:dyDescent="0.3">
      <c r="A32" s="100" t="s">
        <v>1136</v>
      </c>
      <c r="B32" s="100" t="s">
        <v>68</v>
      </c>
      <c r="C32" s="101">
        <v>71</v>
      </c>
      <c r="D32" s="102">
        <v>330</v>
      </c>
      <c r="E32" s="100"/>
    </row>
    <row r="33" spans="1:5" ht="18" customHeight="1" x14ac:dyDescent="0.35">
      <c r="A33" s="103" t="s">
        <v>286</v>
      </c>
      <c r="B33" s="103" t="s">
        <v>68</v>
      </c>
      <c r="C33" s="92">
        <v>77</v>
      </c>
      <c r="D33" s="91">
        <v>4550</v>
      </c>
      <c r="E33" s="67"/>
    </row>
    <row r="34" spans="1:5" ht="18" customHeight="1" x14ac:dyDescent="0.3">
      <c r="A34" s="100" t="s">
        <v>546</v>
      </c>
      <c r="B34" s="100" t="s">
        <v>452</v>
      </c>
      <c r="C34" s="101">
        <v>16</v>
      </c>
      <c r="D34" s="102">
        <v>4550</v>
      </c>
      <c r="E34" s="100"/>
    </row>
    <row r="35" spans="1:5" ht="18" customHeight="1" x14ac:dyDescent="0.35">
      <c r="A35" s="103" t="s">
        <v>904</v>
      </c>
      <c r="B35" s="103" t="s">
        <v>452</v>
      </c>
      <c r="C35" s="92">
        <v>51</v>
      </c>
      <c r="D35" s="91">
        <v>4550</v>
      </c>
      <c r="E35" s="67"/>
    </row>
    <row r="36" spans="1:5" ht="18" customHeight="1" x14ac:dyDescent="0.3">
      <c r="A36" s="100" t="s">
        <v>1746</v>
      </c>
      <c r="B36" s="100" t="s">
        <v>452</v>
      </c>
      <c r="C36" s="101" t="s">
        <v>1744</v>
      </c>
      <c r="D36" s="102">
        <v>200</v>
      </c>
      <c r="E36" s="100"/>
    </row>
    <row r="37" spans="1:5" ht="18" customHeight="1" x14ac:dyDescent="0.35">
      <c r="A37" s="103" t="s">
        <v>1592</v>
      </c>
      <c r="B37" s="103" t="s">
        <v>132</v>
      </c>
      <c r="C37" s="92" t="s">
        <v>1590</v>
      </c>
      <c r="D37" s="91">
        <v>500</v>
      </c>
      <c r="E37" s="67"/>
    </row>
    <row r="38" spans="1:5" ht="18" customHeight="1" x14ac:dyDescent="0.3">
      <c r="A38" s="100" t="s">
        <v>131</v>
      </c>
      <c r="B38" s="100" t="s">
        <v>132</v>
      </c>
      <c r="C38" s="101">
        <v>19</v>
      </c>
      <c r="D38" s="102">
        <v>5550</v>
      </c>
      <c r="E38" s="100"/>
    </row>
    <row r="39" spans="1:5" ht="18" customHeight="1" x14ac:dyDescent="0.35">
      <c r="A39" s="103" t="s">
        <v>560</v>
      </c>
      <c r="B39" s="103" t="s">
        <v>132</v>
      </c>
      <c r="C39" s="92">
        <v>20</v>
      </c>
      <c r="D39" s="91">
        <v>4550</v>
      </c>
      <c r="E39" s="67"/>
    </row>
    <row r="40" spans="1:5" ht="18" customHeight="1" x14ac:dyDescent="0.3">
      <c r="A40" s="100" t="s">
        <v>611</v>
      </c>
      <c r="B40" s="100" t="s">
        <v>132</v>
      </c>
      <c r="C40" s="101">
        <v>25</v>
      </c>
      <c r="D40" s="102">
        <v>5005</v>
      </c>
      <c r="E40" s="100"/>
    </row>
    <row r="41" spans="1:5" ht="18" customHeight="1" x14ac:dyDescent="0.35">
      <c r="A41" s="103" t="s">
        <v>936</v>
      </c>
      <c r="B41" s="103" t="s">
        <v>132</v>
      </c>
      <c r="C41" s="92">
        <v>53</v>
      </c>
      <c r="D41" s="91">
        <v>4550</v>
      </c>
      <c r="E41" s="67"/>
    </row>
    <row r="42" spans="1:5" ht="18" customHeight="1" x14ac:dyDescent="0.3">
      <c r="A42" s="100" t="s">
        <v>1002</v>
      </c>
      <c r="B42" s="100" t="s">
        <v>132</v>
      </c>
      <c r="C42" s="101">
        <v>59</v>
      </c>
      <c r="D42" s="102">
        <v>5720</v>
      </c>
      <c r="E42" s="100"/>
    </row>
    <row r="43" spans="1:5" ht="18" customHeight="1" x14ac:dyDescent="0.35">
      <c r="A43" s="103" t="s">
        <v>1026</v>
      </c>
      <c r="B43" s="103" t="s">
        <v>132</v>
      </c>
      <c r="C43" s="92">
        <v>61</v>
      </c>
      <c r="D43" s="91">
        <v>6750</v>
      </c>
      <c r="E43" s="67"/>
    </row>
    <row r="44" spans="1:5" ht="18" customHeight="1" x14ac:dyDescent="0.3">
      <c r="A44" s="100" t="s">
        <v>111</v>
      </c>
      <c r="B44" s="100" t="s">
        <v>86</v>
      </c>
      <c r="C44" s="101">
        <v>9</v>
      </c>
      <c r="D44" s="102">
        <v>15500</v>
      </c>
      <c r="E44" s="100"/>
    </row>
    <row r="45" spans="1:5" ht="18" customHeight="1" x14ac:dyDescent="0.35">
      <c r="A45" s="103" t="s">
        <v>152</v>
      </c>
      <c r="B45" s="103" t="s">
        <v>86</v>
      </c>
      <c r="C45" s="92">
        <v>10</v>
      </c>
      <c r="D45" s="91">
        <v>500</v>
      </c>
      <c r="E45" s="67"/>
    </row>
    <row r="46" spans="1:5" ht="18" customHeight="1" x14ac:dyDescent="0.3">
      <c r="A46" s="100" t="s">
        <v>1221</v>
      </c>
      <c r="B46" s="100" t="s">
        <v>86</v>
      </c>
      <c r="C46" s="101">
        <v>81</v>
      </c>
      <c r="D46" s="102">
        <v>3000</v>
      </c>
      <c r="E46" s="100"/>
    </row>
    <row r="47" spans="1:5" ht="18" customHeight="1" x14ac:dyDescent="0.35">
      <c r="A47" s="103" t="s">
        <v>85</v>
      </c>
      <c r="B47" s="103" t="s">
        <v>86</v>
      </c>
      <c r="C47" s="92">
        <v>82</v>
      </c>
      <c r="D47" s="91">
        <v>5050</v>
      </c>
      <c r="E47" s="67"/>
    </row>
    <row r="48" spans="1:5" ht="18" customHeight="1" x14ac:dyDescent="0.3">
      <c r="A48" s="100" t="s">
        <v>386</v>
      </c>
      <c r="B48" s="100" t="s">
        <v>86</v>
      </c>
      <c r="C48" s="101">
        <v>117</v>
      </c>
      <c r="D48" s="102">
        <v>1200</v>
      </c>
      <c r="E48" s="100"/>
    </row>
    <row r="49" spans="1:5" ht="18" customHeight="1" x14ac:dyDescent="0.35">
      <c r="A49" s="103" t="s">
        <v>1599</v>
      </c>
      <c r="B49" s="103" t="s">
        <v>39</v>
      </c>
      <c r="C49" s="92" t="s">
        <v>1601</v>
      </c>
      <c r="D49" s="91">
        <v>350</v>
      </c>
      <c r="E49" s="67"/>
    </row>
    <row r="50" spans="1:5" ht="18" customHeight="1" x14ac:dyDescent="0.3">
      <c r="A50" s="100" t="s">
        <v>1784</v>
      </c>
      <c r="B50" s="100" t="s">
        <v>39</v>
      </c>
      <c r="C50" s="101">
        <v>9</v>
      </c>
      <c r="D50" s="102">
        <v>4550</v>
      </c>
      <c r="E50" s="100"/>
    </row>
    <row r="51" spans="1:5" ht="18" customHeight="1" x14ac:dyDescent="0.35">
      <c r="A51" s="103" t="s">
        <v>1664</v>
      </c>
      <c r="B51" s="103" t="s">
        <v>39</v>
      </c>
      <c r="C51" s="92">
        <v>16</v>
      </c>
      <c r="D51" s="91">
        <v>4550</v>
      </c>
      <c r="E51" s="67"/>
    </row>
    <row r="52" spans="1:5" ht="18" customHeight="1" x14ac:dyDescent="0.3">
      <c r="A52" s="100" t="s">
        <v>1667</v>
      </c>
      <c r="B52" s="100" t="s">
        <v>39</v>
      </c>
      <c r="C52" s="101">
        <v>17</v>
      </c>
      <c r="D52" s="102">
        <v>4719</v>
      </c>
      <c r="E52" s="100"/>
    </row>
    <row r="53" spans="1:5" ht="18" customHeight="1" x14ac:dyDescent="0.35">
      <c r="A53" s="103" t="s">
        <v>1676</v>
      </c>
      <c r="B53" s="103" t="s">
        <v>39</v>
      </c>
      <c r="C53" s="92">
        <v>22</v>
      </c>
      <c r="D53" s="91">
        <v>4550</v>
      </c>
      <c r="E53" s="67"/>
    </row>
    <row r="54" spans="1:5" ht="18" customHeight="1" x14ac:dyDescent="0.3">
      <c r="A54" s="100" t="s">
        <v>619</v>
      </c>
      <c r="B54" s="100" t="s">
        <v>39</v>
      </c>
      <c r="C54" s="101">
        <v>25</v>
      </c>
      <c r="D54" s="102">
        <v>1050</v>
      </c>
      <c r="E54" s="100"/>
    </row>
    <row r="55" spans="1:5" ht="18" customHeight="1" x14ac:dyDescent="0.35">
      <c r="A55" s="103" t="s">
        <v>38</v>
      </c>
      <c r="B55" s="103" t="s">
        <v>39</v>
      </c>
      <c r="C55" s="92">
        <v>37</v>
      </c>
      <c r="D55" s="91">
        <v>5050</v>
      </c>
      <c r="E55" s="67"/>
    </row>
    <row r="56" spans="1:5" ht="18" customHeight="1" x14ac:dyDescent="0.3">
      <c r="A56" s="100" t="s">
        <v>283</v>
      </c>
      <c r="B56" s="100" t="s">
        <v>39</v>
      </c>
      <c r="C56" s="101">
        <v>39</v>
      </c>
      <c r="D56" s="102">
        <v>4550</v>
      </c>
      <c r="E56" s="100"/>
    </row>
    <row r="57" spans="1:5" ht="18" customHeight="1" x14ac:dyDescent="0.35">
      <c r="A57" s="103" t="s">
        <v>159</v>
      </c>
      <c r="B57" s="103" t="s">
        <v>39</v>
      </c>
      <c r="C57" s="92">
        <v>41</v>
      </c>
      <c r="D57" s="91">
        <v>4000</v>
      </c>
      <c r="E57" s="67"/>
    </row>
    <row r="58" spans="1:5" ht="18" customHeight="1" x14ac:dyDescent="0.3">
      <c r="A58" s="100" t="s">
        <v>184</v>
      </c>
      <c r="B58" s="100" t="s">
        <v>39</v>
      </c>
      <c r="C58" s="101">
        <v>43</v>
      </c>
      <c r="D58" s="102">
        <v>5050</v>
      </c>
      <c r="E58" s="100"/>
    </row>
    <row r="59" spans="1:5" ht="18" customHeight="1" x14ac:dyDescent="0.35">
      <c r="A59" s="103" t="s">
        <v>871</v>
      </c>
      <c r="B59" s="103" t="s">
        <v>39</v>
      </c>
      <c r="C59" s="92">
        <v>49</v>
      </c>
      <c r="D59" s="91">
        <v>2450</v>
      </c>
      <c r="E59" s="67"/>
    </row>
    <row r="60" spans="1:5" ht="18" customHeight="1" x14ac:dyDescent="0.3">
      <c r="A60" s="100" t="s">
        <v>873</v>
      </c>
      <c r="B60" s="100" t="s">
        <v>39</v>
      </c>
      <c r="C60" s="101">
        <v>49</v>
      </c>
      <c r="D60" s="102">
        <v>700</v>
      </c>
      <c r="E60" s="100"/>
    </row>
    <row r="61" spans="1:5" ht="18" customHeight="1" x14ac:dyDescent="0.35">
      <c r="A61" s="103" t="s">
        <v>1466</v>
      </c>
      <c r="B61" s="103" t="s">
        <v>39</v>
      </c>
      <c r="C61" s="92">
        <v>115</v>
      </c>
      <c r="D61" s="91">
        <v>4719</v>
      </c>
      <c r="E61" s="67"/>
    </row>
    <row r="62" spans="1:5" ht="18" customHeight="1" x14ac:dyDescent="0.3">
      <c r="A62" s="100" t="s">
        <v>688</v>
      </c>
      <c r="B62" s="100" t="s">
        <v>689</v>
      </c>
      <c r="C62" s="101">
        <v>33</v>
      </c>
      <c r="D62" s="102">
        <v>4550</v>
      </c>
      <c r="E62" s="100"/>
    </row>
    <row r="63" spans="1:5" ht="18" customHeight="1" x14ac:dyDescent="0.35">
      <c r="A63" s="103" t="s">
        <v>696</v>
      </c>
      <c r="B63" s="103" t="s">
        <v>25</v>
      </c>
      <c r="C63" s="92">
        <v>34</v>
      </c>
      <c r="D63" s="91">
        <v>370</v>
      </c>
      <c r="E63" s="67"/>
    </row>
    <row r="64" spans="1:5" ht="18" customHeight="1" x14ac:dyDescent="0.3">
      <c r="A64" s="100" t="s">
        <v>970</v>
      </c>
      <c r="B64" s="100" t="s">
        <v>25</v>
      </c>
      <c r="C64" s="101">
        <v>56</v>
      </c>
      <c r="D64" s="102">
        <v>4550</v>
      </c>
      <c r="E64" s="100"/>
    </row>
    <row r="65" spans="1:5" ht="18" customHeight="1" x14ac:dyDescent="0.35">
      <c r="A65" s="103" t="s">
        <v>990</v>
      </c>
      <c r="B65" s="103" t="s">
        <v>25</v>
      </c>
      <c r="C65" s="92">
        <v>58</v>
      </c>
      <c r="D65" s="91">
        <v>600</v>
      </c>
      <c r="E65" s="67"/>
    </row>
    <row r="66" spans="1:5" ht="18" customHeight="1" x14ac:dyDescent="0.3">
      <c r="A66" s="100" t="s">
        <v>234</v>
      </c>
      <c r="B66" s="100" t="s">
        <v>25</v>
      </c>
      <c r="C66" s="101">
        <v>62</v>
      </c>
      <c r="D66" s="102">
        <v>700</v>
      </c>
      <c r="E66" s="100"/>
    </row>
    <row r="67" spans="1:5" ht="18" customHeight="1" x14ac:dyDescent="0.35">
      <c r="A67" s="103" t="s">
        <v>1067</v>
      </c>
      <c r="B67" s="103" t="s">
        <v>25</v>
      </c>
      <c r="C67" s="92">
        <v>64</v>
      </c>
      <c r="D67" s="91">
        <v>4550</v>
      </c>
      <c r="E67" s="67"/>
    </row>
    <row r="68" spans="1:5" ht="18" customHeight="1" x14ac:dyDescent="0.3">
      <c r="A68" s="100" t="s">
        <v>1082</v>
      </c>
      <c r="B68" s="100" t="s">
        <v>25</v>
      </c>
      <c r="C68" s="101">
        <v>66</v>
      </c>
      <c r="D68" s="102">
        <v>4719</v>
      </c>
      <c r="E68" s="100"/>
    </row>
    <row r="69" spans="1:5" ht="18" customHeight="1" x14ac:dyDescent="0.35">
      <c r="A69" s="103" t="s">
        <v>1125</v>
      </c>
      <c r="B69" s="103" t="s">
        <v>25</v>
      </c>
      <c r="C69" s="92">
        <v>70</v>
      </c>
      <c r="D69" s="91">
        <v>6500</v>
      </c>
      <c r="E69" s="67"/>
    </row>
    <row r="70" spans="1:5" ht="18" customHeight="1" x14ac:dyDescent="0.3">
      <c r="A70" s="100" t="s">
        <v>98</v>
      </c>
      <c r="B70" s="100" t="s">
        <v>25</v>
      </c>
      <c r="C70" s="101">
        <v>74</v>
      </c>
      <c r="D70" s="102">
        <v>3750</v>
      </c>
      <c r="E70" s="100"/>
    </row>
    <row r="71" spans="1:5" ht="18" customHeight="1" x14ac:dyDescent="0.35">
      <c r="A71" s="103" t="s">
        <v>1203</v>
      </c>
      <c r="B71" s="103" t="s">
        <v>25</v>
      </c>
      <c r="C71" s="92">
        <v>78</v>
      </c>
      <c r="D71" s="91">
        <v>200</v>
      </c>
      <c r="E71" s="67"/>
    </row>
    <row r="72" spans="1:5" ht="18" customHeight="1" x14ac:dyDescent="0.3">
      <c r="A72" s="100" t="s">
        <v>222</v>
      </c>
      <c r="B72" s="100" t="s">
        <v>25</v>
      </c>
      <c r="C72" s="101">
        <v>79</v>
      </c>
      <c r="D72" s="102">
        <v>2700</v>
      </c>
      <c r="E72" s="100"/>
    </row>
    <row r="73" spans="1:5" ht="18" customHeight="1" x14ac:dyDescent="0.35">
      <c r="A73" s="103" t="s">
        <v>64</v>
      </c>
      <c r="B73" s="103" t="s">
        <v>25</v>
      </c>
      <c r="C73" s="92">
        <v>85</v>
      </c>
      <c r="D73" s="91">
        <v>840</v>
      </c>
      <c r="E73" s="67"/>
    </row>
    <row r="74" spans="1:5" ht="18" customHeight="1" x14ac:dyDescent="0.3">
      <c r="A74" s="100" t="s">
        <v>24</v>
      </c>
      <c r="B74" s="100" t="s">
        <v>25</v>
      </c>
      <c r="C74" s="101">
        <v>87</v>
      </c>
      <c r="D74" s="102">
        <v>170</v>
      </c>
      <c r="E74" s="100"/>
    </row>
    <row r="75" spans="1:5" ht="18" customHeight="1" x14ac:dyDescent="0.35">
      <c r="A75" s="103" t="s">
        <v>1287</v>
      </c>
      <c r="B75" s="103" t="s">
        <v>25</v>
      </c>
      <c r="C75" s="92">
        <v>89</v>
      </c>
      <c r="D75" s="91">
        <v>220</v>
      </c>
      <c r="E75" s="67"/>
    </row>
    <row r="76" spans="1:5" ht="18" customHeight="1" x14ac:dyDescent="0.3">
      <c r="A76" s="100" t="s">
        <v>1290</v>
      </c>
      <c r="B76" s="100" t="s">
        <v>25</v>
      </c>
      <c r="C76" s="101">
        <v>89</v>
      </c>
      <c r="D76" s="102">
        <v>400</v>
      </c>
      <c r="E76" s="100"/>
    </row>
    <row r="77" spans="1:5" ht="18" customHeight="1" x14ac:dyDescent="0.35">
      <c r="A77" s="103" t="s">
        <v>1326</v>
      </c>
      <c r="B77" s="103" t="s">
        <v>25</v>
      </c>
      <c r="C77" s="92">
        <v>93</v>
      </c>
      <c r="D77" s="91">
        <v>4550</v>
      </c>
      <c r="E77" s="67"/>
    </row>
    <row r="78" spans="1:5" ht="18" customHeight="1" x14ac:dyDescent="0.3">
      <c r="A78" s="100" t="s">
        <v>1725</v>
      </c>
      <c r="B78" s="100" t="s">
        <v>178</v>
      </c>
      <c r="C78" s="101">
        <v>30</v>
      </c>
      <c r="D78" s="102">
        <v>660</v>
      </c>
      <c r="E78" s="100"/>
    </row>
    <row r="79" spans="1:5" ht="18" customHeight="1" x14ac:dyDescent="0.35">
      <c r="A79" s="103" t="s">
        <v>177</v>
      </c>
      <c r="B79" s="103" t="s">
        <v>178</v>
      </c>
      <c r="C79" s="92">
        <v>37</v>
      </c>
      <c r="D79" s="91">
        <v>4900</v>
      </c>
      <c r="E79" s="67"/>
    </row>
    <row r="80" spans="1:5" ht="18" customHeight="1" x14ac:dyDescent="0.3">
      <c r="A80" s="100" t="s">
        <v>214</v>
      </c>
      <c r="B80" s="100" t="s">
        <v>178</v>
      </c>
      <c r="C80" s="101">
        <v>39</v>
      </c>
      <c r="D80" s="102">
        <v>5700</v>
      </c>
      <c r="E80" s="100"/>
    </row>
    <row r="81" spans="1:5" ht="18" customHeight="1" x14ac:dyDescent="0.35">
      <c r="A81" s="103" t="s">
        <v>760</v>
      </c>
      <c r="B81" s="103" t="s">
        <v>178</v>
      </c>
      <c r="C81" s="92">
        <v>40</v>
      </c>
      <c r="D81" s="91">
        <v>4550</v>
      </c>
      <c r="E81" s="67"/>
    </row>
    <row r="82" spans="1:5" ht="18" customHeight="1" x14ac:dyDescent="0.3">
      <c r="A82" s="100" t="s">
        <v>774</v>
      </c>
      <c r="B82" s="100" t="s">
        <v>178</v>
      </c>
      <c r="C82" s="101">
        <v>41</v>
      </c>
      <c r="D82" s="102">
        <v>330</v>
      </c>
      <c r="E82" s="100"/>
    </row>
    <row r="83" spans="1:5" ht="18" customHeight="1" x14ac:dyDescent="0.35">
      <c r="A83" s="103" t="s">
        <v>455</v>
      </c>
      <c r="B83" s="103" t="s">
        <v>139</v>
      </c>
      <c r="C83" s="92">
        <v>4</v>
      </c>
      <c r="D83" s="91">
        <v>4719</v>
      </c>
      <c r="E83" s="67"/>
    </row>
    <row r="84" spans="1:5" ht="18" customHeight="1" x14ac:dyDescent="0.3">
      <c r="A84" s="100" t="s">
        <v>492</v>
      </c>
      <c r="B84" s="100" t="s">
        <v>139</v>
      </c>
      <c r="C84" s="101">
        <v>8</v>
      </c>
      <c r="D84" s="102">
        <v>4000</v>
      </c>
      <c r="E84" s="100"/>
    </row>
    <row r="85" spans="1:5" ht="18" customHeight="1" x14ac:dyDescent="0.35">
      <c r="A85" s="103" t="s">
        <v>1608</v>
      </c>
      <c r="B85" s="103" t="s">
        <v>139</v>
      </c>
      <c r="C85" s="104">
        <v>46357</v>
      </c>
      <c r="D85" s="91">
        <v>400</v>
      </c>
      <c r="E85" s="67"/>
    </row>
    <row r="86" spans="1:5" ht="18" customHeight="1" x14ac:dyDescent="0.3">
      <c r="A86" s="100" t="s">
        <v>138</v>
      </c>
      <c r="B86" s="100" t="s">
        <v>139</v>
      </c>
      <c r="C86" s="101">
        <v>57</v>
      </c>
      <c r="D86" s="102">
        <v>500</v>
      </c>
      <c r="E86" s="100"/>
    </row>
    <row r="87" spans="1:5" ht="18" customHeight="1" x14ac:dyDescent="0.35">
      <c r="A87" s="103" t="s">
        <v>1009</v>
      </c>
      <c r="B87" s="103" t="s">
        <v>139</v>
      </c>
      <c r="C87" s="101">
        <v>59</v>
      </c>
      <c r="D87" s="91">
        <v>170</v>
      </c>
      <c r="E87" s="67"/>
    </row>
    <row r="88" spans="1:5" ht="18" customHeight="1" x14ac:dyDescent="0.3">
      <c r="A88" s="100" t="s">
        <v>1761</v>
      </c>
      <c r="B88" s="100" t="s">
        <v>139</v>
      </c>
      <c r="C88" s="101" t="s">
        <v>1763</v>
      </c>
      <c r="D88" s="102">
        <v>3900</v>
      </c>
      <c r="E88" s="100"/>
    </row>
    <row r="89" spans="1:5" ht="18" customHeight="1" x14ac:dyDescent="0.35">
      <c r="A89" s="103" t="s">
        <v>1154</v>
      </c>
      <c r="B89" s="103" t="s">
        <v>139</v>
      </c>
      <c r="C89" s="101">
        <v>73</v>
      </c>
      <c r="D89" s="91">
        <v>4550</v>
      </c>
      <c r="E89" s="67"/>
    </row>
    <row r="90" spans="1:5" ht="18" customHeight="1" x14ac:dyDescent="0.3">
      <c r="A90" s="100" t="s">
        <v>590</v>
      </c>
      <c r="B90" s="100" t="s">
        <v>389</v>
      </c>
      <c r="C90" s="101">
        <v>22</v>
      </c>
      <c r="D90" s="102">
        <v>4200</v>
      </c>
      <c r="E90" s="100"/>
    </row>
    <row r="91" spans="1:5" ht="18" customHeight="1" x14ac:dyDescent="0.35">
      <c r="A91" s="103" t="s">
        <v>200</v>
      </c>
      <c r="B91" s="103" t="s">
        <v>105</v>
      </c>
      <c r="C91" s="101">
        <v>70</v>
      </c>
      <c r="D91" s="91">
        <v>1000</v>
      </c>
      <c r="E91" s="67"/>
    </row>
    <row r="92" spans="1:5" ht="18" customHeight="1" x14ac:dyDescent="0.3">
      <c r="A92" s="100" t="s">
        <v>1208</v>
      </c>
      <c r="B92" s="100" t="s">
        <v>105</v>
      </c>
      <c r="C92" s="101">
        <v>78</v>
      </c>
      <c r="D92" s="102">
        <v>2500</v>
      </c>
      <c r="E92" s="100"/>
    </row>
    <row r="93" spans="1:5" ht="18" customHeight="1" x14ac:dyDescent="0.35">
      <c r="A93" s="103" t="s">
        <v>1217</v>
      </c>
      <c r="B93" s="103" t="s">
        <v>105</v>
      </c>
      <c r="C93" s="101">
        <v>80</v>
      </c>
      <c r="D93" s="91">
        <v>83</v>
      </c>
      <c r="E93" s="67"/>
    </row>
    <row r="94" spans="1:5" ht="18" customHeight="1" x14ac:dyDescent="0.3">
      <c r="A94" s="100" t="s">
        <v>124</v>
      </c>
      <c r="B94" s="100" t="s">
        <v>105</v>
      </c>
      <c r="C94" s="101">
        <v>83</v>
      </c>
      <c r="D94" s="102">
        <v>1670</v>
      </c>
      <c r="E94" s="100"/>
    </row>
    <row r="95" spans="1:5" ht="18" customHeight="1" x14ac:dyDescent="0.35">
      <c r="A95" s="103" t="s">
        <v>1269</v>
      </c>
      <c r="B95" s="103" t="s">
        <v>105</v>
      </c>
      <c r="C95" s="101">
        <v>86</v>
      </c>
      <c r="D95" s="91">
        <v>3900</v>
      </c>
      <c r="E95" s="67"/>
    </row>
    <row r="96" spans="1:5" ht="18" customHeight="1" x14ac:dyDescent="0.3">
      <c r="A96" s="100" t="s">
        <v>203</v>
      </c>
      <c r="B96" s="100" t="s">
        <v>105</v>
      </c>
      <c r="C96" s="101">
        <v>88</v>
      </c>
      <c r="D96" s="102">
        <v>500</v>
      </c>
      <c r="E96" s="100"/>
    </row>
    <row r="97" spans="1:5" ht="18" customHeight="1" x14ac:dyDescent="0.35">
      <c r="A97" s="103" t="s">
        <v>1776</v>
      </c>
      <c r="B97" s="103" t="s">
        <v>105</v>
      </c>
      <c r="C97" s="92" t="s">
        <v>1778</v>
      </c>
      <c r="D97" s="91">
        <v>4550</v>
      </c>
      <c r="E97" s="67"/>
    </row>
    <row r="98" spans="1:5" ht="18" customHeight="1" x14ac:dyDescent="0.3">
      <c r="A98" s="100" t="s">
        <v>135</v>
      </c>
      <c r="B98" s="100" t="s">
        <v>105</v>
      </c>
      <c r="C98" s="101">
        <v>90</v>
      </c>
      <c r="D98" s="102">
        <v>4550</v>
      </c>
      <c r="E98" s="100"/>
    </row>
    <row r="99" spans="1:5" ht="18" customHeight="1" x14ac:dyDescent="0.35">
      <c r="A99" s="103" t="s">
        <v>141</v>
      </c>
      <c r="B99" s="103" t="s">
        <v>105</v>
      </c>
      <c r="C99" s="101">
        <v>92</v>
      </c>
      <c r="D99" s="91">
        <v>500</v>
      </c>
      <c r="E99" s="67"/>
    </row>
    <row r="100" spans="1:5" ht="18" customHeight="1" x14ac:dyDescent="0.3">
      <c r="A100" s="100" t="s">
        <v>104</v>
      </c>
      <c r="B100" s="100" t="s">
        <v>105</v>
      </c>
      <c r="C100" s="101">
        <v>94</v>
      </c>
      <c r="D100" s="102">
        <v>4400</v>
      </c>
      <c r="E100" s="100"/>
    </row>
    <row r="101" spans="1:5" ht="18" customHeight="1" x14ac:dyDescent="0.35">
      <c r="A101" s="103" t="s">
        <v>181</v>
      </c>
      <c r="B101" s="103" t="s">
        <v>105</v>
      </c>
      <c r="C101" s="101">
        <v>96</v>
      </c>
      <c r="D101" s="91">
        <v>1000</v>
      </c>
      <c r="E101" s="67"/>
    </row>
    <row r="102" spans="1:5" ht="18" customHeight="1" x14ac:dyDescent="0.3">
      <c r="A102" s="100" t="s">
        <v>127</v>
      </c>
      <c r="B102" s="100" t="s">
        <v>105</v>
      </c>
      <c r="C102" s="101">
        <v>100</v>
      </c>
      <c r="D102" s="102">
        <v>500</v>
      </c>
      <c r="E102" s="100"/>
    </row>
    <row r="103" spans="1:5" ht="18" customHeight="1" x14ac:dyDescent="0.35">
      <c r="A103" s="103" t="s">
        <v>866</v>
      </c>
      <c r="B103" s="103" t="s">
        <v>29</v>
      </c>
      <c r="C103" s="101">
        <v>48</v>
      </c>
      <c r="D103" s="91">
        <v>1000</v>
      </c>
      <c r="E103" s="67"/>
    </row>
    <row r="104" spans="1:5" ht="18" customHeight="1" x14ac:dyDescent="0.3">
      <c r="A104" s="100" t="s">
        <v>887</v>
      </c>
      <c r="B104" s="100" t="s">
        <v>29</v>
      </c>
      <c r="C104" s="101">
        <v>50</v>
      </c>
      <c r="D104" s="102">
        <v>2040</v>
      </c>
      <c r="E104" s="100"/>
    </row>
    <row r="105" spans="1:5" ht="18" customHeight="1" x14ac:dyDescent="0.35">
      <c r="A105" s="103" t="s">
        <v>296</v>
      </c>
      <c r="B105" s="103" t="s">
        <v>29</v>
      </c>
      <c r="C105" s="101">
        <v>54</v>
      </c>
      <c r="D105" s="91">
        <v>900</v>
      </c>
      <c r="E105" s="67"/>
    </row>
    <row r="106" spans="1:5" ht="18" customHeight="1" x14ac:dyDescent="0.3">
      <c r="A106" s="100" t="s">
        <v>117</v>
      </c>
      <c r="B106" s="100" t="s">
        <v>29</v>
      </c>
      <c r="C106" s="101">
        <v>58</v>
      </c>
      <c r="D106" s="102">
        <v>300</v>
      </c>
      <c r="E106" s="100"/>
    </row>
    <row r="107" spans="1:5" ht="18" customHeight="1" x14ac:dyDescent="0.35">
      <c r="A107" s="103" t="s">
        <v>28</v>
      </c>
      <c r="B107" s="103" t="s">
        <v>29</v>
      </c>
      <c r="C107" s="101">
        <v>62</v>
      </c>
      <c r="D107" s="91">
        <v>5700</v>
      </c>
      <c r="E107" s="67"/>
    </row>
    <row r="108" spans="1:5" ht="18" customHeight="1" x14ac:dyDescent="0.3">
      <c r="A108" s="100" t="s">
        <v>192</v>
      </c>
      <c r="B108" s="100" t="s">
        <v>29</v>
      </c>
      <c r="C108" s="101">
        <v>65</v>
      </c>
      <c r="D108" s="102">
        <v>6220</v>
      </c>
      <c r="E108" s="100"/>
    </row>
    <row r="109" spans="1:5" ht="18" customHeight="1" x14ac:dyDescent="0.35">
      <c r="A109" s="103" t="s">
        <v>155</v>
      </c>
      <c r="B109" s="103" t="s">
        <v>29</v>
      </c>
      <c r="C109" s="101">
        <v>66</v>
      </c>
      <c r="D109" s="91">
        <v>5700</v>
      </c>
      <c r="E109" s="67"/>
    </row>
    <row r="110" spans="1:5" ht="18" customHeight="1" x14ac:dyDescent="0.3">
      <c r="A110" s="100" t="s">
        <v>1252</v>
      </c>
      <c r="B110" s="100" t="s">
        <v>29</v>
      </c>
      <c r="C110" s="101">
        <v>84</v>
      </c>
      <c r="D110" s="102">
        <v>4550</v>
      </c>
      <c r="E110" s="100"/>
    </row>
    <row r="111" spans="1:5" ht="18" customHeight="1" x14ac:dyDescent="0.35">
      <c r="A111" s="103" t="s">
        <v>1241</v>
      </c>
      <c r="B111" s="103" t="s">
        <v>150</v>
      </c>
      <c r="C111" s="101">
        <v>82</v>
      </c>
      <c r="D111" s="91">
        <v>170</v>
      </c>
      <c r="E111" s="67"/>
    </row>
    <row r="112" spans="1:5" ht="18" customHeight="1" x14ac:dyDescent="0.3">
      <c r="A112" s="100" t="s">
        <v>149</v>
      </c>
      <c r="B112" s="100" t="s">
        <v>150</v>
      </c>
      <c r="C112" s="101">
        <v>100</v>
      </c>
      <c r="D112" s="102">
        <v>500</v>
      </c>
      <c r="E112" s="100"/>
    </row>
    <row r="113" spans="1:5" ht="18" customHeight="1" x14ac:dyDescent="0.35">
      <c r="A113" s="103" t="s">
        <v>1114</v>
      </c>
      <c r="B113" s="103" t="s">
        <v>394</v>
      </c>
      <c r="C113" s="101">
        <v>69</v>
      </c>
      <c r="D113" s="91">
        <v>4550</v>
      </c>
      <c r="E113" s="67"/>
    </row>
    <row r="114" spans="1:5" ht="18" customHeight="1" x14ac:dyDescent="0.3">
      <c r="A114" s="100" t="s">
        <v>1140</v>
      </c>
      <c r="B114" s="100" t="s">
        <v>394</v>
      </c>
      <c r="C114" s="101">
        <v>71</v>
      </c>
      <c r="D114" s="102">
        <v>2600</v>
      </c>
      <c r="E114" s="100"/>
    </row>
    <row r="115" spans="1:5" ht="18" customHeight="1" x14ac:dyDescent="0.35">
      <c r="A115" s="103" t="s">
        <v>1158</v>
      </c>
      <c r="B115" s="103" t="s">
        <v>394</v>
      </c>
      <c r="C115" s="101">
        <v>73</v>
      </c>
      <c r="D115" s="91">
        <v>400</v>
      </c>
      <c r="E115" s="67"/>
    </row>
    <row r="116" spans="1:5" ht="18" customHeight="1" x14ac:dyDescent="0.3">
      <c r="A116" s="100" t="s">
        <v>662</v>
      </c>
      <c r="B116" s="100" t="s">
        <v>145</v>
      </c>
      <c r="C116" s="101">
        <v>30</v>
      </c>
      <c r="D116" s="102">
        <v>350</v>
      </c>
      <c r="E116" s="100"/>
    </row>
    <row r="117" spans="1:5" ht="18" customHeight="1" x14ac:dyDescent="0.35">
      <c r="A117" s="103" t="s">
        <v>241</v>
      </c>
      <c r="B117" s="103" t="s">
        <v>145</v>
      </c>
      <c r="C117" s="101">
        <v>40</v>
      </c>
      <c r="D117" s="91">
        <v>3100</v>
      </c>
      <c r="E117" s="67"/>
    </row>
    <row r="118" spans="1:5" ht="18" customHeight="1" x14ac:dyDescent="0.3">
      <c r="A118" s="100" t="s">
        <v>785</v>
      </c>
      <c r="B118" s="100" t="s">
        <v>145</v>
      </c>
      <c r="C118" s="101">
        <v>42</v>
      </c>
      <c r="D118" s="102">
        <v>2600</v>
      </c>
      <c r="E118" s="100"/>
    </row>
    <row r="119" spans="1:5" ht="18" customHeight="1" x14ac:dyDescent="0.35">
      <c r="A119" s="103" t="s">
        <v>1649</v>
      </c>
      <c r="B119" s="103" t="s">
        <v>1650</v>
      </c>
      <c r="C119" s="92" t="s">
        <v>1651</v>
      </c>
      <c r="D119" s="91">
        <v>350</v>
      </c>
      <c r="E119" s="67"/>
    </row>
    <row r="120" spans="1:5" ht="18" customHeight="1" x14ac:dyDescent="0.3">
      <c r="A120" s="100" t="s">
        <v>55</v>
      </c>
      <c r="B120" s="100" t="s">
        <v>56</v>
      </c>
      <c r="C120" s="101" t="s">
        <v>57</v>
      </c>
      <c r="D120" s="102">
        <v>2200</v>
      </c>
      <c r="E120" s="100"/>
    </row>
    <row r="121" spans="1:5" ht="18" customHeight="1" x14ac:dyDescent="0.35">
      <c r="A121" s="103" t="s">
        <v>1518</v>
      </c>
      <c r="B121" s="103" t="s">
        <v>47</v>
      </c>
      <c r="C121" s="101">
        <v>150</v>
      </c>
      <c r="D121" s="91">
        <v>350</v>
      </c>
      <c r="E121" s="67"/>
    </row>
    <row r="122" spans="1:5" ht="18" customHeight="1" x14ac:dyDescent="0.3">
      <c r="A122" s="100" t="s">
        <v>1521</v>
      </c>
      <c r="B122" s="100" t="s">
        <v>47</v>
      </c>
      <c r="C122" s="101">
        <v>151</v>
      </c>
      <c r="D122" s="102">
        <v>3850</v>
      </c>
      <c r="E122" s="100"/>
    </row>
    <row r="123" spans="1:5" ht="18" customHeight="1" x14ac:dyDescent="0.35">
      <c r="A123" s="103" t="s">
        <v>1523</v>
      </c>
      <c r="B123" s="103" t="s">
        <v>47</v>
      </c>
      <c r="C123" s="101">
        <v>151</v>
      </c>
      <c r="D123" s="91">
        <v>3500</v>
      </c>
      <c r="E123" s="67"/>
    </row>
    <row r="124" spans="1:5" ht="18" customHeight="1" x14ac:dyDescent="0.3">
      <c r="A124" s="100" t="s">
        <v>51</v>
      </c>
      <c r="B124" s="100" t="s">
        <v>47</v>
      </c>
      <c r="C124" s="101">
        <v>153</v>
      </c>
      <c r="D124" s="102">
        <v>4200</v>
      </c>
      <c r="E124" s="100"/>
    </row>
    <row r="125" spans="1:5" ht="18" customHeight="1" x14ac:dyDescent="0.35">
      <c r="A125" s="103" t="s">
        <v>1539</v>
      </c>
      <c r="B125" s="103" t="s">
        <v>47</v>
      </c>
      <c r="C125" s="101">
        <v>243</v>
      </c>
      <c r="D125" s="91">
        <v>170</v>
      </c>
      <c r="E125" s="67"/>
    </row>
    <row r="126" spans="1:5" ht="18" customHeight="1" x14ac:dyDescent="0.3">
      <c r="A126" s="100" t="s">
        <v>1683</v>
      </c>
      <c r="B126" s="100" t="s">
        <v>47</v>
      </c>
      <c r="C126" s="101" t="s">
        <v>1685</v>
      </c>
      <c r="D126" s="102">
        <v>4550</v>
      </c>
      <c r="E126" s="100"/>
    </row>
    <row r="127" spans="1:5" ht="18" customHeight="1" x14ac:dyDescent="0.35">
      <c r="A127" s="103" t="s">
        <v>61</v>
      </c>
      <c r="B127" s="103" t="s">
        <v>47</v>
      </c>
      <c r="C127" s="101">
        <v>244</v>
      </c>
      <c r="D127" s="91">
        <v>690</v>
      </c>
      <c r="E127" s="67"/>
    </row>
    <row r="128" spans="1:5" ht="18" customHeight="1" x14ac:dyDescent="0.3">
      <c r="A128" s="100" t="s">
        <v>1549</v>
      </c>
      <c r="B128" s="100" t="s">
        <v>47</v>
      </c>
      <c r="C128" s="101">
        <v>245</v>
      </c>
      <c r="D128" s="102">
        <v>4550</v>
      </c>
      <c r="E128" s="100"/>
    </row>
    <row r="129" spans="1:5" ht="18" customHeight="1" x14ac:dyDescent="0.35">
      <c r="A129" s="103" t="s">
        <v>1559</v>
      </c>
      <c r="B129" s="103" t="s">
        <v>47</v>
      </c>
      <c r="C129" s="101">
        <v>247</v>
      </c>
      <c r="D129" s="91">
        <v>1750</v>
      </c>
      <c r="E129" s="67"/>
    </row>
    <row r="130" spans="1:5" ht="18" customHeight="1" x14ac:dyDescent="0.3">
      <c r="A130" s="100" t="s">
        <v>46</v>
      </c>
      <c r="B130" s="100" t="s">
        <v>47</v>
      </c>
      <c r="C130" s="101" t="s">
        <v>48</v>
      </c>
      <c r="D130" s="102">
        <v>580</v>
      </c>
      <c r="E130" s="100"/>
    </row>
    <row r="131" spans="1:5" ht="18" customHeight="1" x14ac:dyDescent="0.35">
      <c r="A131" s="103" t="s">
        <v>1703</v>
      </c>
      <c r="B131" s="103" t="s">
        <v>47</v>
      </c>
      <c r="C131" s="92" t="s">
        <v>1705</v>
      </c>
      <c r="D131" s="91">
        <v>3900</v>
      </c>
      <c r="E131" s="67"/>
    </row>
    <row r="132" spans="1:5" ht="18" customHeight="1" x14ac:dyDescent="0.3">
      <c r="A132" s="100" t="s">
        <v>218</v>
      </c>
      <c r="B132" s="100" t="s">
        <v>219</v>
      </c>
      <c r="C132" s="101">
        <v>77</v>
      </c>
      <c r="D132" s="102">
        <v>340</v>
      </c>
      <c r="E132" s="100"/>
    </row>
    <row r="133" spans="1:5" ht="18" customHeight="1" x14ac:dyDescent="0.35">
      <c r="A133" s="103" t="s">
        <v>1803</v>
      </c>
      <c r="B133" s="103" t="s">
        <v>469</v>
      </c>
      <c r="C133" s="67"/>
      <c r="D133" s="91">
        <v>500</v>
      </c>
      <c r="E133" s="67"/>
    </row>
    <row r="134" spans="1:5" ht="18" customHeight="1" x14ac:dyDescent="0.3">
      <c r="A134" s="100" t="s">
        <v>132</v>
      </c>
      <c r="B134" s="100" t="s">
        <v>469</v>
      </c>
      <c r="C134" s="101"/>
      <c r="D134" s="102">
        <v>1000</v>
      </c>
      <c r="E134" s="100"/>
    </row>
    <row r="135" spans="1:5" ht="18" customHeight="1" x14ac:dyDescent="0.35">
      <c r="A135" s="103" t="s">
        <v>1804</v>
      </c>
      <c r="B135" s="103" t="s">
        <v>469</v>
      </c>
      <c r="C135" s="67"/>
      <c r="D135" s="91">
        <v>600</v>
      </c>
      <c r="E135" s="67"/>
    </row>
    <row r="136" spans="1:5" ht="18" customHeight="1" x14ac:dyDescent="0.3">
      <c r="A136" s="100" t="s">
        <v>1805</v>
      </c>
      <c r="B136" s="100" t="s">
        <v>469</v>
      </c>
      <c r="C136" s="101"/>
      <c r="D136" s="102">
        <v>500</v>
      </c>
      <c r="E136" s="100"/>
    </row>
    <row r="137" spans="1:5" ht="18" customHeight="1" x14ac:dyDescent="0.35">
      <c r="A137" s="103" t="s">
        <v>1806</v>
      </c>
      <c r="B137" s="103" t="s">
        <v>469</v>
      </c>
      <c r="C137" s="67"/>
      <c r="D137" s="91">
        <v>500</v>
      </c>
      <c r="E137" s="67"/>
    </row>
    <row r="138" spans="1:5" ht="18" customHeight="1" x14ac:dyDescent="0.3">
      <c r="A138" s="105" t="s">
        <v>2081</v>
      </c>
      <c r="B138" s="106"/>
      <c r="C138" s="107"/>
      <c r="D138" s="108"/>
      <c r="E138" s="106"/>
    </row>
    <row r="139" spans="1:5" ht="18" customHeight="1" x14ac:dyDescent="0.35">
      <c r="A139" s="67"/>
      <c r="B139" s="67"/>
      <c r="C139" s="67"/>
      <c r="D139" s="67"/>
      <c r="E139" s="67"/>
    </row>
    <row r="140" spans="1:5" ht="18" customHeight="1" x14ac:dyDescent="0.35">
      <c r="A140" s="109" t="s">
        <v>2082</v>
      </c>
      <c r="B140" s="67"/>
      <c r="C140" s="67"/>
      <c r="D140" s="67"/>
      <c r="E140" s="67"/>
    </row>
    <row r="141" spans="1:5" ht="18" customHeight="1" x14ac:dyDescent="0.3">
      <c r="A141" s="96" t="s">
        <v>401</v>
      </c>
      <c r="B141" s="96" t="s">
        <v>2078</v>
      </c>
      <c r="C141" s="110" t="s">
        <v>9</v>
      </c>
      <c r="D141" s="96" t="s">
        <v>2083</v>
      </c>
      <c r="E141" s="96" t="s">
        <v>402</v>
      </c>
    </row>
    <row r="142" spans="1:5" ht="18" customHeight="1" x14ac:dyDescent="0.3">
      <c r="A142" s="111" t="s">
        <v>1767</v>
      </c>
      <c r="B142" s="111" t="s">
        <v>1768</v>
      </c>
      <c r="C142" s="112">
        <v>7</v>
      </c>
      <c r="D142" s="111" t="s">
        <v>2084</v>
      </c>
      <c r="E142" s="111"/>
    </row>
    <row r="143" spans="1:5" ht="18" customHeight="1" x14ac:dyDescent="0.35">
      <c r="A143" s="103" t="s">
        <v>1733</v>
      </c>
      <c r="B143" s="103" t="s">
        <v>1673</v>
      </c>
      <c r="C143" s="92">
        <v>39</v>
      </c>
      <c r="D143" s="103" t="s">
        <v>2084</v>
      </c>
      <c r="E143" s="67"/>
    </row>
    <row r="144" spans="1:5" ht="18" customHeight="1" x14ac:dyDescent="0.3">
      <c r="A144" s="111" t="s">
        <v>1737</v>
      </c>
      <c r="B144" s="111" t="s">
        <v>1673</v>
      </c>
      <c r="C144" s="112">
        <v>48</v>
      </c>
      <c r="D144" s="111" t="s">
        <v>2084</v>
      </c>
      <c r="E144" s="111"/>
    </row>
    <row r="145" spans="1:5" ht="18" customHeight="1" x14ac:dyDescent="0.35">
      <c r="A145" s="103" t="s">
        <v>1741</v>
      </c>
      <c r="B145" s="103" t="s">
        <v>1673</v>
      </c>
      <c r="C145" s="92">
        <v>48</v>
      </c>
      <c r="D145" s="103" t="s">
        <v>2084</v>
      </c>
      <c r="E145" s="67"/>
    </row>
    <row r="146" spans="1:5" ht="18" customHeight="1" x14ac:dyDescent="0.3">
      <c r="A146" s="111" t="s">
        <v>1672</v>
      </c>
      <c r="B146" s="111" t="s">
        <v>1673</v>
      </c>
      <c r="C146" s="112" t="s">
        <v>1674</v>
      </c>
      <c r="D146" s="111" t="s">
        <v>2084</v>
      </c>
      <c r="E146" s="111"/>
    </row>
    <row r="147" spans="1:5" ht="18" customHeight="1" x14ac:dyDescent="0.35">
      <c r="A147" s="103" t="s">
        <v>487</v>
      </c>
      <c r="B147" s="103" t="s">
        <v>34</v>
      </c>
      <c r="C147" s="92">
        <v>8</v>
      </c>
      <c r="D147" s="103" t="s">
        <v>2084</v>
      </c>
      <c r="E147" s="67"/>
    </row>
    <row r="148" spans="1:5" ht="18" customHeight="1" x14ac:dyDescent="0.3">
      <c r="A148" s="111" t="s">
        <v>1781</v>
      </c>
      <c r="B148" s="111" t="s">
        <v>34</v>
      </c>
      <c r="C148" s="112" t="s">
        <v>1783</v>
      </c>
      <c r="D148" s="111" t="s">
        <v>2084</v>
      </c>
      <c r="E148" s="111"/>
    </row>
    <row r="149" spans="1:5" ht="18" customHeight="1" x14ac:dyDescent="0.35">
      <c r="A149" s="103" t="s">
        <v>514</v>
      </c>
      <c r="B149" s="103" t="s">
        <v>34</v>
      </c>
      <c r="C149" s="92">
        <v>12</v>
      </c>
      <c r="D149" s="103" t="s">
        <v>2084</v>
      </c>
      <c r="E149" s="67"/>
    </row>
    <row r="150" spans="1:5" ht="18" customHeight="1" x14ac:dyDescent="0.3">
      <c r="A150" s="111" t="s">
        <v>533</v>
      </c>
      <c r="B150" s="111" t="s">
        <v>34</v>
      </c>
      <c r="C150" s="112">
        <v>14</v>
      </c>
      <c r="D150" s="111" t="s">
        <v>2084</v>
      </c>
      <c r="E150" s="111"/>
    </row>
    <row r="151" spans="1:5" ht="18" customHeight="1" x14ac:dyDescent="0.35">
      <c r="A151" s="103" t="s">
        <v>535</v>
      </c>
      <c r="B151" s="103" t="s">
        <v>34</v>
      </c>
      <c r="C151" s="92">
        <v>14</v>
      </c>
      <c r="D151" s="103" t="s">
        <v>2084</v>
      </c>
      <c r="E151" s="67"/>
    </row>
    <row r="152" spans="1:5" ht="18" customHeight="1" x14ac:dyDescent="0.3">
      <c r="A152" s="111" t="s">
        <v>1589</v>
      </c>
      <c r="B152" s="111" t="s">
        <v>21</v>
      </c>
      <c r="C152" s="112" t="s">
        <v>1590</v>
      </c>
      <c r="D152" s="111" t="s">
        <v>2084</v>
      </c>
      <c r="E152" s="111"/>
    </row>
    <row r="153" spans="1:5" ht="18" customHeight="1" x14ac:dyDescent="0.35">
      <c r="A153" s="103" t="s">
        <v>248</v>
      </c>
      <c r="B153" s="103" t="s">
        <v>21</v>
      </c>
      <c r="C153" s="92">
        <v>40</v>
      </c>
      <c r="D153" s="103" t="s">
        <v>2084</v>
      </c>
      <c r="E153" s="67"/>
    </row>
    <row r="154" spans="1:5" ht="18" customHeight="1" x14ac:dyDescent="0.3">
      <c r="A154" s="111" t="s">
        <v>883</v>
      </c>
      <c r="B154" s="111" t="s">
        <v>21</v>
      </c>
      <c r="C154" s="112">
        <v>50</v>
      </c>
      <c r="D154" s="111" t="s">
        <v>2084</v>
      </c>
      <c r="E154" s="111"/>
    </row>
    <row r="155" spans="1:5" ht="18" customHeight="1" x14ac:dyDescent="0.35">
      <c r="A155" s="103" t="s">
        <v>1275</v>
      </c>
      <c r="B155" s="103" t="s">
        <v>21</v>
      </c>
      <c r="C155" s="92">
        <v>87</v>
      </c>
      <c r="D155" s="103" t="s">
        <v>2084</v>
      </c>
      <c r="E155" s="67"/>
    </row>
    <row r="156" spans="1:5" ht="18" customHeight="1" x14ac:dyDescent="0.3">
      <c r="A156" s="111" t="s">
        <v>1277</v>
      </c>
      <c r="B156" s="111" t="s">
        <v>21</v>
      </c>
      <c r="C156" s="112">
        <v>87</v>
      </c>
      <c r="D156" s="111" t="s">
        <v>2084</v>
      </c>
      <c r="E156" s="111"/>
    </row>
    <row r="157" spans="1:5" ht="18" customHeight="1" x14ac:dyDescent="0.35">
      <c r="A157" s="103" t="s">
        <v>1284</v>
      </c>
      <c r="B157" s="103" t="s">
        <v>21</v>
      </c>
      <c r="C157" s="92">
        <v>89</v>
      </c>
      <c r="D157" s="103" t="s">
        <v>2084</v>
      </c>
      <c r="E157" s="67"/>
    </row>
    <row r="158" spans="1:5" ht="18" customHeight="1" x14ac:dyDescent="0.3">
      <c r="A158" s="111" t="s">
        <v>1323</v>
      </c>
      <c r="B158" s="111" t="s">
        <v>21</v>
      </c>
      <c r="C158" s="112">
        <v>93</v>
      </c>
      <c r="D158" s="111" t="s">
        <v>2084</v>
      </c>
      <c r="E158" s="111"/>
    </row>
    <row r="159" spans="1:5" ht="18" customHeight="1" x14ac:dyDescent="0.35">
      <c r="A159" s="103" t="s">
        <v>1345</v>
      </c>
      <c r="B159" s="103" t="s">
        <v>21</v>
      </c>
      <c r="C159" s="92">
        <v>95</v>
      </c>
      <c r="D159" s="103" t="s">
        <v>2084</v>
      </c>
      <c r="E159" s="67"/>
    </row>
    <row r="160" spans="1:5" ht="18" customHeight="1" x14ac:dyDescent="0.3">
      <c r="A160" s="111" t="s">
        <v>1348</v>
      </c>
      <c r="B160" s="111" t="s">
        <v>21</v>
      </c>
      <c r="C160" s="112">
        <v>95</v>
      </c>
      <c r="D160" s="111" t="s">
        <v>2084</v>
      </c>
      <c r="E160" s="111"/>
    </row>
    <row r="161" spans="1:5" ht="18" customHeight="1" x14ac:dyDescent="0.35">
      <c r="A161" s="103" t="s">
        <v>1354</v>
      </c>
      <c r="B161" s="103" t="s">
        <v>21</v>
      </c>
      <c r="C161" s="92">
        <v>97</v>
      </c>
      <c r="D161" s="103" t="s">
        <v>2084</v>
      </c>
      <c r="E161" s="67"/>
    </row>
    <row r="162" spans="1:5" ht="18" customHeight="1" x14ac:dyDescent="0.3">
      <c r="A162" s="111" t="s">
        <v>1357</v>
      </c>
      <c r="B162" s="111" t="s">
        <v>21</v>
      </c>
      <c r="C162" s="112">
        <v>97</v>
      </c>
      <c r="D162" s="111" t="s">
        <v>2084</v>
      </c>
      <c r="E162" s="111"/>
    </row>
    <row r="163" spans="1:5" ht="18" customHeight="1" x14ac:dyDescent="0.35">
      <c r="A163" s="103" t="s">
        <v>1359</v>
      </c>
      <c r="B163" s="103" t="s">
        <v>21</v>
      </c>
      <c r="C163" s="92">
        <v>97</v>
      </c>
      <c r="D163" s="103" t="s">
        <v>2084</v>
      </c>
      <c r="E163" s="67"/>
    </row>
    <row r="164" spans="1:5" ht="18" customHeight="1" x14ac:dyDescent="0.3">
      <c r="A164" s="111" t="s">
        <v>1795</v>
      </c>
      <c r="B164" s="111" t="s">
        <v>21</v>
      </c>
      <c r="C164" s="112" t="s">
        <v>1796</v>
      </c>
      <c r="D164" s="111" t="s">
        <v>2084</v>
      </c>
      <c r="E164" s="111"/>
    </row>
    <row r="165" spans="1:5" ht="18" customHeight="1" x14ac:dyDescent="0.35">
      <c r="A165" s="103" t="s">
        <v>1361</v>
      </c>
      <c r="B165" s="103" t="s">
        <v>21</v>
      </c>
      <c r="C165" s="92">
        <v>97</v>
      </c>
      <c r="D165" s="103" t="s">
        <v>2084</v>
      </c>
      <c r="E165" s="67"/>
    </row>
    <row r="166" spans="1:5" ht="18" customHeight="1" x14ac:dyDescent="0.3">
      <c r="A166" s="111" t="s">
        <v>1378</v>
      </c>
      <c r="B166" s="111" t="s">
        <v>21</v>
      </c>
      <c r="C166" s="112">
        <v>99</v>
      </c>
      <c r="D166" s="111" t="s">
        <v>2084</v>
      </c>
      <c r="E166" s="111"/>
    </row>
    <row r="167" spans="1:5" ht="18" customHeight="1" x14ac:dyDescent="0.35">
      <c r="A167" s="103" t="s">
        <v>1416</v>
      </c>
      <c r="B167" s="103" t="s">
        <v>21</v>
      </c>
      <c r="C167" s="92">
        <v>104</v>
      </c>
      <c r="D167" s="103" t="s">
        <v>2084</v>
      </c>
      <c r="E167" s="67"/>
    </row>
    <row r="168" spans="1:5" ht="18" customHeight="1" x14ac:dyDescent="0.3">
      <c r="A168" s="111" t="s">
        <v>1430</v>
      </c>
      <c r="B168" s="111" t="s">
        <v>21</v>
      </c>
      <c r="C168" s="112">
        <v>106</v>
      </c>
      <c r="D168" s="111" t="s">
        <v>2084</v>
      </c>
      <c r="E168" s="111"/>
    </row>
    <row r="169" spans="1:5" ht="18" customHeight="1" x14ac:dyDescent="0.35">
      <c r="A169" s="103" t="s">
        <v>1448</v>
      </c>
      <c r="B169" s="103" t="s">
        <v>21</v>
      </c>
      <c r="C169" s="92">
        <v>112</v>
      </c>
      <c r="D169" s="103" t="s">
        <v>2084</v>
      </c>
      <c r="E169" s="67"/>
    </row>
    <row r="170" spans="1:5" ht="18" customHeight="1" x14ac:dyDescent="0.3">
      <c r="A170" s="111" t="s">
        <v>1454</v>
      </c>
      <c r="B170" s="111" t="s">
        <v>21</v>
      </c>
      <c r="C170" s="112">
        <v>114</v>
      </c>
      <c r="D170" s="111" t="s">
        <v>2084</v>
      </c>
      <c r="E170" s="111"/>
    </row>
    <row r="171" spans="1:5" ht="18" customHeight="1" x14ac:dyDescent="0.35">
      <c r="A171" s="103" t="s">
        <v>1457</v>
      </c>
      <c r="B171" s="103" t="s">
        <v>21</v>
      </c>
      <c r="C171" s="92">
        <v>114</v>
      </c>
      <c r="D171" s="103" t="s">
        <v>2084</v>
      </c>
      <c r="E171" s="67"/>
    </row>
    <row r="172" spans="1:5" ht="18" customHeight="1" x14ac:dyDescent="0.3">
      <c r="A172" s="111" t="s">
        <v>1460</v>
      </c>
      <c r="B172" s="111" t="s">
        <v>21</v>
      </c>
      <c r="C172" s="112">
        <v>114</v>
      </c>
      <c r="D172" s="111" t="s">
        <v>2084</v>
      </c>
      <c r="E172" s="111"/>
    </row>
    <row r="173" spans="1:5" ht="18" customHeight="1" x14ac:dyDescent="0.35">
      <c r="A173" s="103" t="s">
        <v>1463</v>
      </c>
      <c r="B173" s="103" t="s">
        <v>21</v>
      </c>
      <c r="C173" s="92">
        <v>114</v>
      </c>
      <c r="D173" s="103" t="s">
        <v>2084</v>
      </c>
      <c r="E173" s="67"/>
    </row>
    <row r="174" spans="1:5" ht="18" customHeight="1" x14ac:dyDescent="0.3">
      <c r="A174" s="111" t="s">
        <v>1474</v>
      </c>
      <c r="B174" s="111" t="s">
        <v>21</v>
      </c>
      <c r="C174" s="112">
        <v>116</v>
      </c>
      <c r="D174" s="111" t="s">
        <v>2084</v>
      </c>
      <c r="E174" s="111"/>
    </row>
    <row r="175" spans="1:5" ht="18" customHeight="1" x14ac:dyDescent="0.35">
      <c r="A175" s="103" t="s">
        <v>1487</v>
      </c>
      <c r="B175" s="103" t="s">
        <v>399</v>
      </c>
      <c r="C175" s="92">
        <v>139</v>
      </c>
      <c r="D175" s="103" t="s">
        <v>2084</v>
      </c>
      <c r="E175" s="67"/>
    </row>
    <row r="176" spans="1:5" ht="18" customHeight="1" x14ac:dyDescent="0.3">
      <c r="A176" s="111" t="s">
        <v>1490</v>
      </c>
      <c r="B176" s="111" t="s">
        <v>399</v>
      </c>
      <c r="C176" s="112">
        <v>139</v>
      </c>
      <c r="D176" s="111" t="s">
        <v>2084</v>
      </c>
      <c r="E176" s="111"/>
    </row>
    <row r="177" spans="1:5" ht="18" customHeight="1" x14ac:dyDescent="0.35">
      <c r="A177" s="103" t="s">
        <v>1492</v>
      </c>
      <c r="B177" s="103" t="s">
        <v>399</v>
      </c>
      <c r="C177" s="92">
        <v>139</v>
      </c>
      <c r="D177" s="103" t="s">
        <v>2084</v>
      </c>
      <c r="E177" s="67"/>
    </row>
    <row r="178" spans="1:5" ht="18" customHeight="1" x14ac:dyDescent="0.3">
      <c r="A178" s="111" t="s">
        <v>1494</v>
      </c>
      <c r="B178" s="111" t="s">
        <v>399</v>
      </c>
      <c r="C178" s="112">
        <v>140</v>
      </c>
      <c r="D178" s="111" t="s">
        <v>2084</v>
      </c>
      <c r="E178" s="111"/>
    </row>
    <row r="179" spans="1:5" ht="18" customHeight="1" x14ac:dyDescent="0.35">
      <c r="A179" s="103" t="s">
        <v>1496</v>
      </c>
      <c r="B179" s="103" t="s">
        <v>399</v>
      </c>
      <c r="C179" s="92">
        <v>142</v>
      </c>
      <c r="D179" s="103" t="s">
        <v>2084</v>
      </c>
      <c r="E179" s="67"/>
    </row>
    <row r="180" spans="1:5" ht="18" customHeight="1" x14ac:dyDescent="0.3">
      <c r="A180" s="111" t="s">
        <v>1501</v>
      </c>
      <c r="B180" s="111" t="s">
        <v>399</v>
      </c>
      <c r="C180" s="112">
        <v>143</v>
      </c>
      <c r="D180" s="111" t="s">
        <v>2084</v>
      </c>
      <c r="E180" s="111"/>
    </row>
    <row r="181" spans="1:5" ht="18" customHeight="1" x14ac:dyDescent="0.35">
      <c r="A181" s="103" t="s">
        <v>1507</v>
      </c>
      <c r="B181" s="103" t="s">
        <v>399</v>
      </c>
      <c r="C181" s="92">
        <v>144</v>
      </c>
      <c r="D181" s="103" t="s">
        <v>2084</v>
      </c>
      <c r="E181" s="67"/>
    </row>
    <row r="182" spans="1:5" ht="18" customHeight="1" x14ac:dyDescent="0.3">
      <c r="A182" s="111" t="s">
        <v>641</v>
      </c>
      <c r="B182" s="111" t="s">
        <v>94</v>
      </c>
      <c r="C182" s="112">
        <v>28</v>
      </c>
      <c r="D182" s="111" t="s">
        <v>2084</v>
      </c>
      <c r="E182" s="111"/>
    </row>
    <row r="183" spans="1:5" ht="18" customHeight="1" x14ac:dyDescent="0.35">
      <c r="A183" s="103" t="s">
        <v>659</v>
      </c>
      <c r="B183" s="103" t="s">
        <v>94</v>
      </c>
      <c r="C183" s="92">
        <v>30</v>
      </c>
      <c r="D183" s="103" t="s">
        <v>2084</v>
      </c>
      <c r="E183" s="67"/>
    </row>
    <row r="184" spans="1:5" ht="18" customHeight="1" x14ac:dyDescent="0.3">
      <c r="A184" s="111" t="s">
        <v>677</v>
      </c>
      <c r="B184" s="111" t="s">
        <v>94</v>
      </c>
      <c r="C184" s="112">
        <v>32</v>
      </c>
      <c r="D184" s="111" t="s">
        <v>2084</v>
      </c>
      <c r="E184" s="111"/>
    </row>
    <row r="185" spans="1:5" ht="18" customHeight="1" x14ac:dyDescent="0.35">
      <c r="A185" s="103" t="s">
        <v>680</v>
      </c>
      <c r="B185" s="103" t="s">
        <v>94</v>
      </c>
      <c r="C185" s="92">
        <v>32</v>
      </c>
      <c r="D185" s="103" t="s">
        <v>2084</v>
      </c>
      <c r="E185" s="67"/>
    </row>
    <row r="186" spans="1:5" ht="18" customHeight="1" x14ac:dyDescent="0.3">
      <c r="A186" s="111" t="s">
        <v>1727</v>
      </c>
      <c r="B186" s="111" t="s">
        <v>94</v>
      </c>
      <c r="C186" s="112" t="s">
        <v>1728</v>
      </c>
      <c r="D186" s="111" t="s">
        <v>2084</v>
      </c>
      <c r="E186" s="111"/>
    </row>
    <row r="187" spans="1:5" ht="18" customHeight="1" x14ac:dyDescent="0.35">
      <c r="A187" s="103" t="s">
        <v>693</v>
      </c>
      <c r="B187" s="103" t="s">
        <v>94</v>
      </c>
      <c r="C187" s="92">
        <v>34</v>
      </c>
      <c r="D187" s="103" t="s">
        <v>2084</v>
      </c>
      <c r="E187" s="67"/>
    </row>
    <row r="188" spans="1:5" ht="18" customHeight="1" x14ac:dyDescent="0.3">
      <c r="A188" s="111" t="s">
        <v>288</v>
      </c>
      <c r="B188" s="111" t="s">
        <v>94</v>
      </c>
      <c r="C188" s="112">
        <v>37</v>
      </c>
      <c r="D188" s="111" t="s">
        <v>2084</v>
      </c>
      <c r="E188" s="111"/>
    </row>
    <row r="189" spans="1:5" ht="18" customHeight="1" x14ac:dyDescent="0.35">
      <c r="A189" s="103" t="s">
        <v>836</v>
      </c>
      <c r="B189" s="103" t="s">
        <v>94</v>
      </c>
      <c r="C189" s="92">
        <v>47</v>
      </c>
      <c r="D189" s="103" t="s">
        <v>2084</v>
      </c>
      <c r="E189" s="67"/>
    </row>
    <row r="190" spans="1:5" ht="18" customHeight="1" x14ac:dyDescent="0.3">
      <c r="A190" s="111" t="s">
        <v>869</v>
      </c>
      <c r="B190" s="111" t="s">
        <v>94</v>
      </c>
      <c r="C190" s="112">
        <v>49</v>
      </c>
      <c r="D190" s="111" t="s">
        <v>2084</v>
      </c>
      <c r="E190" s="111"/>
    </row>
    <row r="191" spans="1:5" ht="18" customHeight="1" x14ac:dyDescent="0.35">
      <c r="A191" s="103" t="s">
        <v>899</v>
      </c>
      <c r="B191" s="103" t="s">
        <v>94</v>
      </c>
      <c r="C191" s="92">
        <v>51</v>
      </c>
      <c r="D191" s="103" t="s">
        <v>2084</v>
      </c>
      <c r="E191" s="67"/>
    </row>
    <row r="192" spans="1:5" ht="18" customHeight="1" x14ac:dyDescent="0.3">
      <c r="A192" s="111" t="s">
        <v>1022</v>
      </c>
      <c r="B192" s="111" t="s">
        <v>94</v>
      </c>
      <c r="C192" s="112">
        <v>61</v>
      </c>
      <c r="D192" s="111" t="s">
        <v>2084</v>
      </c>
      <c r="E192" s="111"/>
    </row>
    <row r="193" spans="1:5" ht="18" customHeight="1" x14ac:dyDescent="0.35">
      <c r="A193" s="103" t="s">
        <v>1722</v>
      </c>
      <c r="B193" s="103" t="s">
        <v>68</v>
      </c>
      <c r="C193" s="92">
        <v>3</v>
      </c>
      <c r="D193" s="103" t="s">
        <v>2084</v>
      </c>
      <c r="E193" s="67"/>
    </row>
    <row r="194" spans="1:5" ht="18" customHeight="1" x14ac:dyDescent="0.3">
      <c r="A194" s="111" t="s">
        <v>1616</v>
      </c>
      <c r="B194" s="111" t="s">
        <v>68</v>
      </c>
      <c r="C194" s="112">
        <v>14</v>
      </c>
      <c r="D194" s="111" t="s">
        <v>2084</v>
      </c>
      <c r="E194" s="111"/>
    </row>
    <row r="195" spans="1:5" ht="18" customHeight="1" x14ac:dyDescent="0.35">
      <c r="A195" s="103" t="s">
        <v>1719</v>
      </c>
      <c r="B195" s="103" t="s">
        <v>68</v>
      </c>
      <c r="C195" s="92">
        <v>28</v>
      </c>
      <c r="D195" s="103" t="s">
        <v>2084</v>
      </c>
      <c r="E195" s="67"/>
    </row>
    <row r="196" spans="1:5" ht="18" customHeight="1" x14ac:dyDescent="0.3">
      <c r="A196" s="111" t="s">
        <v>646</v>
      </c>
      <c r="B196" s="111" t="s">
        <v>68</v>
      </c>
      <c r="C196" s="112">
        <v>28</v>
      </c>
      <c r="D196" s="111" t="s">
        <v>2084</v>
      </c>
      <c r="E196" s="111"/>
    </row>
    <row r="197" spans="1:5" ht="18" customHeight="1" x14ac:dyDescent="0.35">
      <c r="A197" s="103" t="s">
        <v>780</v>
      </c>
      <c r="B197" s="103" t="s">
        <v>68</v>
      </c>
      <c r="C197" s="92">
        <v>42</v>
      </c>
      <c r="D197" s="103" t="s">
        <v>2084</v>
      </c>
      <c r="E197" s="67"/>
    </row>
    <row r="198" spans="1:5" ht="18" customHeight="1" x14ac:dyDescent="0.3">
      <c r="A198" s="111" t="s">
        <v>815</v>
      </c>
      <c r="B198" s="111" t="s">
        <v>68</v>
      </c>
      <c r="C198" s="112">
        <v>46</v>
      </c>
      <c r="D198" s="111" t="s">
        <v>2084</v>
      </c>
      <c r="E198" s="111"/>
    </row>
    <row r="199" spans="1:5" ht="18" customHeight="1" x14ac:dyDescent="0.35">
      <c r="A199" s="103" t="s">
        <v>817</v>
      </c>
      <c r="B199" s="103" t="s">
        <v>68</v>
      </c>
      <c r="C199" s="92">
        <v>46</v>
      </c>
      <c r="D199" s="103" t="s">
        <v>2084</v>
      </c>
      <c r="E199" s="67"/>
    </row>
    <row r="200" spans="1:5" ht="18" customHeight="1" x14ac:dyDescent="0.3">
      <c r="A200" s="111" t="s">
        <v>820</v>
      </c>
      <c r="B200" s="111" t="s">
        <v>68</v>
      </c>
      <c r="C200" s="112">
        <v>46</v>
      </c>
      <c r="D200" s="111" t="s">
        <v>2084</v>
      </c>
      <c r="E200" s="111"/>
    </row>
    <row r="201" spans="1:5" ht="18" customHeight="1" x14ac:dyDescent="0.35">
      <c r="A201" s="103" t="s">
        <v>823</v>
      </c>
      <c r="B201" s="103" t="s">
        <v>68</v>
      </c>
      <c r="C201" s="92">
        <v>46</v>
      </c>
      <c r="D201" s="103" t="s">
        <v>2084</v>
      </c>
      <c r="E201" s="67"/>
    </row>
    <row r="202" spans="1:5" ht="18" customHeight="1" x14ac:dyDescent="0.3">
      <c r="A202" s="111" t="s">
        <v>838</v>
      </c>
      <c r="B202" s="111" t="s">
        <v>68</v>
      </c>
      <c r="C202" s="112">
        <v>47</v>
      </c>
      <c r="D202" s="111" t="s">
        <v>2084</v>
      </c>
      <c r="E202" s="111"/>
    </row>
    <row r="203" spans="1:5" ht="18" customHeight="1" x14ac:dyDescent="0.35">
      <c r="A203" s="103" t="s">
        <v>841</v>
      </c>
      <c r="B203" s="103" t="s">
        <v>68</v>
      </c>
      <c r="C203" s="92">
        <v>47</v>
      </c>
      <c r="D203" s="103" t="s">
        <v>2084</v>
      </c>
      <c r="E203" s="67"/>
    </row>
    <row r="204" spans="1:5" ht="18" customHeight="1" x14ac:dyDescent="0.3">
      <c r="A204" s="111" t="s">
        <v>844</v>
      </c>
      <c r="B204" s="111" t="s">
        <v>68</v>
      </c>
      <c r="C204" s="112">
        <v>47</v>
      </c>
      <c r="D204" s="111" t="s">
        <v>2084</v>
      </c>
      <c r="E204" s="111"/>
    </row>
    <row r="205" spans="1:5" ht="18" customHeight="1" x14ac:dyDescent="0.35">
      <c r="A205" s="103" t="s">
        <v>847</v>
      </c>
      <c r="B205" s="103" t="s">
        <v>68</v>
      </c>
      <c r="C205" s="92">
        <v>47</v>
      </c>
      <c r="D205" s="103" t="s">
        <v>2084</v>
      </c>
      <c r="E205" s="67"/>
    </row>
    <row r="206" spans="1:5" ht="18" customHeight="1" x14ac:dyDescent="0.3">
      <c r="A206" s="111" t="s">
        <v>850</v>
      </c>
      <c r="B206" s="111" t="s">
        <v>68</v>
      </c>
      <c r="C206" s="112">
        <v>47</v>
      </c>
      <c r="D206" s="111" t="s">
        <v>2084</v>
      </c>
      <c r="E206" s="111"/>
    </row>
    <row r="207" spans="1:5" ht="18" customHeight="1" x14ac:dyDescent="0.35">
      <c r="A207" s="103" t="s">
        <v>852</v>
      </c>
      <c r="B207" s="103" t="s">
        <v>68</v>
      </c>
      <c r="C207" s="92">
        <v>47</v>
      </c>
      <c r="D207" s="103" t="s">
        <v>2084</v>
      </c>
      <c r="E207" s="67"/>
    </row>
    <row r="208" spans="1:5" ht="18" customHeight="1" x14ac:dyDescent="0.3">
      <c r="A208" s="111" t="s">
        <v>1092</v>
      </c>
      <c r="B208" s="111" t="s">
        <v>68</v>
      </c>
      <c r="C208" s="112">
        <v>67</v>
      </c>
      <c r="D208" s="111" t="s">
        <v>2084</v>
      </c>
      <c r="E208" s="111"/>
    </row>
    <row r="209" spans="1:5" ht="18" customHeight="1" x14ac:dyDescent="0.35">
      <c r="A209" s="103" t="s">
        <v>1110</v>
      </c>
      <c r="B209" s="103" t="s">
        <v>68</v>
      </c>
      <c r="C209" s="92">
        <v>69</v>
      </c>
      <c r="D209" s="103" t="s">
        <v>2084</v>
      </c>
      <c r="E209" s="67"/>
    </row>
    <row r="210" spans="1:5" ht="18" customHeight="1" x14ac:dyDescent="0.3">
      <c r="A210" s="111" t="s">
        <v>1764</v>
      </c>
      <c r="B210" s="111" t="s">
        <v>68</v>
      </c>
      <c r="C210" s="112" t="s">
        <v>1765</v>
      </c>
      <c r="D210" s="111" t="s">
        <v>2084</v>
      </c>
      <c r="E210" s="111"/>
    </row>
    <row r="211" spans="1:5" ht="18" customHeight="1" x14ac:dyDescent="0.35">
      <c r="A211" s="103" t="s">
        <v>1150</v>
      </c>
      <c r="B211" s="103" t="s">
        <v>68</v>
      </c>
      <c r="C211" s="92">
        <v>73</v>
      </c>
      <c r="D211" s="103" t="s">
        <v>2084</v>
      </c>
      <c r="E211" s="67"/>
    </row>
    <row r="212" spans="1:5" ht="18" customHeight="1" x14ac:dyDescent="0.3">
      <c r="A212" s="111" t="s">
        <v>1172</v>
      </c>
      <c r="B212" s="111" t="s">
        <v>68</v>
      </c>
      <c r="C212" s="112">
        <v>75</v>
      </c>
      <c r="D212" s="111" t="s">
        <v>2084</v>
      </c>
      <c r="E212" s="111"/>
    </row>
    <row r="213" spans="1:5" ht="18" customHeight="1" x14ac:dyDescent="0.35">
      <c r="A213" s="103" t="s">
        <v>1175</v>
      </c>
      <c r="B213" s="103" t="s">
        <v>68</v>
      </c>
      <c r="C213" s="92">
        <v>75</v>
      </c>
      <c r="D213" s="103" t="s">
        <v>2084</v>
      </c>
      <c r="E213" s="67"/>
    </row>
    <row r="214" spans="1:5" ht="18" customHeight="1" x14ac:dyDescent="0.3">
      <c r="A214" s="111" t="s">
        <v>1178</v>
      </c>
      <c r="B214" s="111" t="s">
        <v>68</v>
      </c>
      <c r="C214" s="112">
        <v>75</v>
      </c>
      <c r="D214" s="111" t="s">
        <v>2084</v>
      </c>
      <c r="E214" s="111"/>
    </row>
    <row r="215" spans="1:5" ht="18" customHeight="1" x14ac:dyDescent="0.35">
      <c r="A215" s="103" t="s">
        <v>451</v>
      </c>
      <c r="B215" s="103" t="s">
        <v>452</v>
      </c>
      <c r="C215" s="92">
        <v>3</v>
      </c>
      <c r="D215" s="103" t="s">
        <v>2084</v>
      </c>
      <c r="E215" s="67"/>
    </row>
    <row r="216" spans="1:5" ht="18" customHeight="1" x14ac:dyDescent="0.3">
      <c r="A216" s="111" t="s">
        <v>541</v>
      </c>
      <c r="B216" s="111" t="s">
        <v>452</v>
      </c>
      <c r="C216" s="112">
        <v>15</v>
      </c>
      <c r="D216" s="111" t="s">
        <v>2084</v>
      </c>
      <c r="E216" s="111"/>
    </row>
    <row r="217" spans="1:5" ht="18" customHeight="1" x14ac:dyDescent="0.35">
      <c r="A217" s="103" t="s">
        <v>550</v>
      </c>
      <c r="B217" s="103" t="s">
        <v>452</v>
      </c>
      <c r="C217" s="92">
        <v>18</v>
      </c>
      <c r="D217" s="103" t="s">
        <v>2084</v>
      </c>
      <c r="E217" s="67"/>
    </row>
    <row r="218" spans="1:5" ht="18" customHeight="1" x14ac:dyDescent="0.3">
      <c r="A218" s="111" t="s">
        <v>907</v>
      </c>
      <c r="B218" s="111" t="s">
        <v>452</v>
      </c>
      <c r="C218" s="112">
        <v>51</v>
      </c>
      <c r="D218" s="111" t="s">
        <v>2084</v>
      </c>
      <c r="E218" s="111"/>
    </row>
    <row r="219" spans="1:5" ht="18" customHeight="1" x14ac:dyDescent="0.35">
      <c r="A219" s="103" t="s">
        <v>916</v>
      </c>
      <c r="B219" s="103" t="s">
        <v>452</v>
      </c>
      <c r="C219" s="92">
        <v>52</v>
      </c>
      <c r="D219" s="103" t="s">
        <v>2084</v>
      </c>
      <c r="E219" s="67"/>
    </row>
    <row r="220" spans="1:5" ht="18" customHeight="1" x14ac:dyDescent="0.3">
      <c r="A220" s="111" t="s">
        <v>919</v>
      </c>
      <c r="B220" s="111" t="s">
        <v>452</v>
      </c>
      <c r="C220" s="112">
        <v>52</v>
      </c>
      <c r="D220" s="111" t="s">
        <v>2084</v>
      </c>
      <c r="E220" s="111"/>
    </row>
    <row r="221" spans="1:5" ht="18" customHeight="1" x14ac:dyDescent="0.35">
      <c r="A221" s="103" t="s">
        <v>303</v>
      </c>
      <c r="B221" s="103" t="s">
        <v>304</v>
      </c>
      <c r="C221" s="92" t="s">
        <v>1744</v>
      </c>
      <c r="D221" s="103" t="s">
        <v>2084</v>
      </c>
      <c r="E221" s="67"/>
    </row>
    <row r="222" spans="1:5" ht="18" customHeight="1" x14ac:dyDescent="0.3">
      <c r="A222" s="111" t="s">
        <v>1350</v>
      </c>
      <c r="B222" s="111" t="s">
        <v>452</v>
      </c>
      <c r="C222" s="112">
        <v>96</v>
      </c>
      <c r="D222" s="111" t="s">
        <v>2084</v>
      </c>
      <c r="E222" s="111"/>
    </row>
    <row r="223" spans="1:5" ht="18" customHeight="1" x14ac:dyDescent="0.35">
      <c r="A223" s="103" t="s">
        <v>558</v>
      </c>
      <c r="B223" s="103" t="s">
        <v>132</v>
      </c>
      <c r="C223" s="92">
        <v>19</v>
      </c>
      <c r="D223" s="103" t="s">
        <v>2084</v>
      </c>
      <c r="E223" s="67"/>
    </row>
    <row r="224" spans="1:5" ht="18" customHeight="1" x14ac:dyDescent="0.3">
      <c r="A224" s="111" t="s">
        <v>564</v>
      </c>
      <c r="B224" s="111" t="s">
        <v>132</v>
      </c>
      <c r="C224" s="112">
        <v>20</v>
      </c>
      <c r="D224" s="111" t="s">
        <v>2084</v>
      </c>
      <c r="E224" s="111"/>
    </row>
    <row r="225" spans="1:5" ht="18" customHeight="1" x14ac:dyDescent="0.35">
      <c r="A225" s="103" t="s">
        <v>572</v>
      </c>
      <c r="B225" s="103" t="s">
        <v>132</v>
      </c>
      <c r="C225" s="92">
        <v>21</v>
      </c>
      <c r="D225" s="103" t="s">
        <v>2084</v>
      </c>
      <c r="E225" s="67"/>
    </row>
    <row r="226" spans="1:5" ht="18" customHeight="1" x14ac:dyDescent="0.3">
      <c r="A226" s="111" t="s">
        <v>574</v>
      </c>
      <c r="B226" s="111" t="s">
        <v>132</v>
      </c>
      <c r="C226" s="112">
        <v>21</v>
      </c>
      <c r="D226" s="111" t="s">
        <v>2084</v>
      </c>
      <c r="E226" s="111"/>
    </row>
    <row r="227" spans="1:5" ht="18" customHeight="1" x14ac:dyDescent="0.35">
      <c r="A227" s="103" t="s">
        <v>576</v>
      </c>
      <c r="B227" s="103" t="s">
        <v>132</v>
      </c>
      <c r="C227" s="92">
        <v>21</v>
      </c>
      <c r="D227" s="103" t="s">
        <v>2084</v>
      </c>
      <c r="E227" s="67"/>
    </row>
    <row r="228" spans="1:5" ht="18" customHeight="1" x14ac:dyDescent="0.3">
      <c r="A228" s="111" t="s">
        <v>578</v>
      </c>
      <c r="B228" s="111" t="s">
        <v>132</v>
      </c>
      <c r="C228" s="112">
        <v>22</v>
      </c>
      <c r="D228" s="111" t="s">
        <v>2084</v>
      </c>
      <c r="E228" s="111"/>
    </row>
    <row r="229" spans="1:5" ht="18" customHeight="1" x14ac:dyDescent="0.35">
      <c r="A229" s="103" t="s">
        <v>580</v>
      </c>
      <c r="B229" s="103" t="s">
        <v>132</v>
      </c>
      <c r="C229" s="92">
        <v>22</v>
      </c>
      <c r="D229" s="103" t="s">
        <v>2084</v>
      </c>
      <c r="E229" s="67"/>
    </row>
    <row r="230" spans="1:5" ht="18" customHeight="1" x14ac:dyDescent="0.3">
      <c r="A230" s="111" t="s">
        <v>592</v>
      </c>
      <c r="B230" s="111" t="s">
        <v>132</v>
      </c>
      <c r="C230" s="112">
        <v>23</v>
      </c>
      <c r="D230" s="111" t="s">
        <v>2084</v>
      </c>
      <c r="E230" s="111"/>
    </row>
    <row r="231" spans="1:5" ht="18" customHeight="1" x14ac:dyDescent="0.35">
      <c r="A231" s="103" t="s">
        <v>609</v>
      </c>
      <c r="B231" s="103" t="s">
        <v>132</v>
      </c>
      <c r="C231" s="92">
        <v>25</v>
      </c>
      <c r="D231" s="103" t="s">
        <v>2084</v>
      </c>
      <c r="E231" s="67"/>
    </row>
    <row r="232" spans="1:5" ht="18" customHeight="1" x14ac:dyDescent="0.3">
      <c r="A232" s="111" t="s">
        <v>616</v>
      </c>
      <c r="B232" s="111" t="s">
        <v>132</v>
      </c>
      <c r="C232" s="112">
        <v>25</v>
      </c>
      <c r="D232" s="111" t="s">
        <v>2084</v>
      </c>
      <c r="E232" s="111"/>
    </row>
    <row r="233" spans="1:5" ht="18" customHeight="1" x14ac:dyDescent="0.35">
      <c r="A233" s="103" t="s">
        <v>617</v>
      </c>
      <c r="B233" s="103" t="s">
        <v>132</v>
      </c>
      <c r="C233" s="92">
        <v>25</v>
      </c>
      <c r="D233" s="103" t="s">
        <v>2084</v>
      </c>
      <c r="E233" s="67"/>
    </row>
    <row r="234" spans="1:5" ht="18" customHeight="1" x14ac:dyDescent="0.3">
      <c r="A234" s="111" t="s">
        <v>648</v>
      </c>
      <c r="B234" s="111" t="s">
        <v>132</v>
      </c>
      <c r="C234" s="112">
        <v>28</v>
      </c>
      <c r="D234" s="111" t="s">
        <v>2084</v>
      </c>
      <c r="E234" s="111"/>
    </row>
    <row r="235" spans="1:5" ht="18" customHeight="1" x14ac:dyDescent="0.35">
      <c r="A235" s="103" t="s">
        <v>921</v>
      </c>
      <c r="B235" s="103" t="s">
        <v>132</v>
      </c>
      <c r="C235" s="92">
        <v>52</v>
      </c>
      <c r="D235" s="103" t="s">
        <v>2084</v>
      </c>
      <c r="E235" s="67"/>
    </row>
    <row r="236" spans="1:5" ht="18" customHeight="1" x14ac:dyDescent="0.3">
      <c r="A236" s="111" t="s">
        <v>923</v>
      </c>
      <c r="B236" s="111" t="s">
        <v>132</v>
      </c>
      <c r="C236" s="112">
        <v>52</v>
      </c>
      <c r="D236" s="111" t="s">
        <v>2084</v>
      </c>
      <c r="E236" s="111"/>
    </row>
    <row r="237" spans="1:5" ht="18" customHeight="1" x14ac:dyDescent="0.35">
      <c r="A237" s="103" t="s">
        <v>925</v>
      </c>
      <c r="B237" s="103" t="s">
        <v>132</v>
      </c>
      <c r="C237" s="92">
        <v>52</v>
      </c>
      <c r="D237" s="103" t="s">
        <v>2084</v>
      </c>
      <c r="E237" s="67"/>
    </row>
    <row r="238" spans="1:5" ht="18" customHeight="1" x14ac:dyDescent="0.3">
      <c r="A238" s="111" t="s">
        <v>927</v>
      </c>
      <c r="B238" s="111" t="s">
        <v>132</v>
      </c>
      <c r="C238" s="112">
        <v>52</v>
      </c>
      <c r="D238" s="111" t="s">
        <v>2084</v>
      </c>
      <c r="E238" s="111"/>
    </row>
    <row r="239" spans="1:5" ht="18" customHeight="1" x14ac:dyDescent="0.35">
      <c r="A239" s="103" t="s">
        <v>934</v>
      </c>
      <c r="B239" s="103" t="s">
        <v>132</v>
      </c>
      <c r="C239" s="92">
        <v>53</v>
      </c>
      <c r="D239" s="103" t="s">
        <v>2084</v>
      </c>
      <c r="E239" s="67"/>
    </row>
    <row r="240" spans="1:5" ht="18" customHeight="1" x14ac:dyDescent="0.3">
      <c r="A240" s="111" t="s">
        <v>945</v>
      </c>
      <c r="B240" s="111" t="s">
        <v>132</v>
      </c>
      <c r="C240" s="112">
        <v>54</v>
      </c>
      <c r="D240" s="111" t="s">
        <v>2084</v>
      </c>
      <c r="E240" s="111"/>
    </row>
    <row r="241" spans="1:5" ht="18" customHeight="1" x14ac:dyDescent="0.35">
      <c r="A241" s="103" t="s">
        <v>1005</v>
      </c>
      <c r="B241" s="103" t="s">
        <v>132</v>
      </c>
      <c r="C241" s="92">
        <v>59</v>
      </c>
      <c r="D241" s="103" t="s">
        <v>2084</v>
      </c>
      <c r="E241" s="67"/>
    </row>
    <row r="242" spans="1:5" ht="18" customHeight="1" x14ac:dyDescent="0.3">
      <c r="A242" s="111" t="s">
        <v>1757</v>
      </c>
      <c r="B242" s="111" t="s">
        <v>132</v>
      </c>
      <c r="C242" s="112" t="s">
        <v>1758</v>
      </c>
      <c r="D242" s="111" t="s">
        <v>2084</v>
      </c>
      <c r="E242" s="111"/>
    </row>
    <row r="243" spans="1:5" ht="18" customHeight="1" x14ac:dyDescent="0.35">
      <c r="A243" s="103" t="s">
        <v>1798</v>
      </c>
      <c r="B243" s="103" t="s">
        <v>132</v>
      </c>
      <c r="C243" s="67"/>
      <c r="D243" s="103" t="s">
        <v>2084</v>
      </c>
      <c r="E243" s="67"/>
    </row>
    <row r="244" spans="1:5" ht="18" customHeight="1" x14ac:dyDescent="0.3">
      <c r="A244" s="111" t="s">
        <v>229</v>
      </c>
      <c r="B244" s="111" t="s">
        <v>132</v>
      </c>
      <c r="C244" s="112">
        <v>60</v>
      </c>
      <c r="D244" s="111" t="s">
        <v>2084</v>
      </c>
      <c r="E244" s="111"/>
    </row>
    <row r="245" spans="1:5" ht="18" customHeight="1" x14ac:dyDescent="0.35">
      <c r="A245" s="103" t="s">
        <v>2085</v>
      </c>
      <c r="B245" s="103" t="s">
        <v>132</v>
      </c>
      <c r="C245" s="92">
        <v>61</v>
      </c>
      <c r="D245" s="103" t="s">
        <v>2084</v>
      </c>
      <c r="E245" s="67"/>
    </row>
    <row r="246" spans="1:5" ht="18" customHeight="1" x14ac:dyDescent="0.3">
      <c r="A246" s="111" t="s">
        <v>1030</v>
      </c>
      <c r="B246" s="111" t="s">
        <v>132</v>
      </c>
      <c r="C246" s="112">
        <v>61</v>
      </c>
      <c r="D246" s="111" t="s">
        <v>2084</v>
      </c>
      <c r="E246" s="111"/>
    </row>
    <row r="247" spans="1:5" ht="18" customHeight="1" x14ac:dyDescent="0.35">
      <c r="A247" s="103" t="s">
        <v>1032</v>
      </c>
      <c r="B247" s="103" t="s">
        <v>132</v>
      </c>
      <c r="C247" s="92">
        <v>61</v>
      </c>
      <c r="D247" s="103" t="s">
        <v>2084</v>
      </c>
      <c r="E247" s="67"/>
    </row>
    <row r="248" spans="1:5" ht="18" customHeight="1" x14ac:dyDescent="0.3">
      <c r="A248" s="111" t="s">
        <v>517</v>
      </c>
      <c r="B248" s="111" t="s">
        <v>86</v>
      </c>
      <c r="C248" s="112">
        <v>12</v>
      </c>
      <c r="D248" s="111" t="s">
        <v>2084</v>
      </c>
      <c r="E248" s="111"/>
    </row>
    <row r="249" spans="1:5" ht="18" customHeight="1" x14ac:dyDescent="0.35">
      <c r="A249" s="103" t="s">
        <v>528</v>
      </c>
      <c r="B249" s="103" t="s">
        <v>86</v>
      </c>
      <c r="C249" s="92">
        <v>13</v>
      </c>
      <c r="D249" s="103" t="s">
        <v>2084</v>
      </c>
      <c r="E249" s="67"/>
    </row>
    <row r="250" spans="1:5" ht="18" customHeight="1" x14ac:dyDescent="0.3">
      <c r="A250" s="111" t="s">
        <v>538</v>
      </c>
      <c r="B250" s="111" t="s">
        <v>86</v>
      </c>
      <c r="C250" s="112">
        <v>14</v>
      </c>
      <c r="D250" s="111" t="s">
        <v>2084</v>
      </c>
      <c r="E250" s="111"/>
    </row>
    <row r="251" spans="1:5" ht="18" customHeight="1" x14ac:dyDescent="0.35">
      <c r="A251" s="103" t="s">
        <v>1224</v>
      </c>
      <c r="B251" s="103" t="s">
        <v>86</v>
      </c>
      <c r="C251" s="92">
        <v>81</v>
      </c>
      <c r="D251" s="103" t="s">
        <v>2084</v>
      </c>
      <c r="E251" s="67"/>
    </row>
    <row r="252" spans="1:5" ht="18" customHeight="1" x14ac:dyDescent="0.3">
      <c r="A252" s="111" t="s">
        <v>1227</v>
      </c>
      <c r="B252" s="111" t="s">
        <v>86</v>
      </c>
      <c r="C252" s="112">
        <v>81</v>
      </c>
      <c r="D252" s="111" t="s">
        <v>2084</v>
      </c>
      <c r="E252" s="111"/>
    </row>
    <row r="253" spans="1:5" ht="18" customHeight="1" x14ac:dyDescent="0.35">
      <c r="A253" s="103" t="s">
        <v>1229</v>
      </c>
      <c r="B253" s="103" t="s">
        <v>86</v>
      </c>
      <c r="C253" s="92">
        <v>81</v>
      </c>
      <c r="D253" s="103" t="s">
        <v>2084</v>
      </c>
      <c r="E253" s="67"/>
    </row>
    <row r="254" spans="1:5" ht="18" customHeight="1" x14ac:dyDescent="0.3">
      <c r="A254" s="111" t="s">
        <v>1477</v>
      </c>
      <c r="B254" s="111" t="s">
        <v>86</v>
      </c>
      <c r="C254" s="112">
        <v>117</v>
      </c>
      <c r="D254" s="111" t="s">
        <v>2084</v>
      </c>
      <c r="E254" s="111"/>
    </row>
    <row r="255" spans="1:5" ht="18" customHeight="1" x14ac:dyDescent="0.35">
      <c r="A255" s="103" t="s">
        <v>1480</v>
      </c>
      <c r="B255" s="103" t="s">
        <v>86</v>
      </c>
      <c r="C255" s="92">
        <v>117</v>
      </c>
      <c r="D255" s="103" t="s">
        <v>2084</v>
      </c>
      <c r="E255" s="67"/>
    </row>
    <row r="256" spans="1:5" ht="18" customHeight="1" x14ac:dyDescent="0.3">
      <c r="A256" s="111" t="s">
        <v>1485</v>
      </c>
      <c r="B256" s="111" t="s">
        <v>86</v>
      </c>
      <c r="C256" s="112">
        <v>118</v>
      </c>
      <c r="D256" s="111" t="s">
        <v>2084</v>
      </c>
      <c r="E256" s="111"/>
    </row>
    <row r="257" spans="1:5" ht="18" customHeight="1" x14ac:dyDescent="0.35">
      <c r="A257" s="103" t="s">
        <v>1789</v>
      </c>
      <c r="B257" s="103" t="s">
        <v>39</v>
      </c>
      <c r="C257" s="92">
        <v>9</v>
      </c>
      <c r="D257" s="103" t="s">
        <v>2084</v>
      </c>
      <c r="E257" s="67"/>
    </row>
    <row r="258" spans="1:5" ht="18" customHeight="1" x14ac:dyDescent="0.3">
      <c r="A258" s="111" t="s">
        <v>1604</v>
      </c>
      <c r="B258" s="111" t="s">
        <v>39</v>
      </c>
      <c r="C258" s="112">
        <v>11</v>
      </c>
      <c r="D258" s="111" t="s">
        <v>2084</v>
      </c>
      <c r="E258" s="111"/>
    </row>
    <row r="259" spans="1:5" ht="18" customHeight="1" x14ac:dyDescent="0.35">
      <c r="A259" s="103" t="s">
        <v>1612</v>
      </c>
      <c r="B259" s="103" t="s">
        <v>39</v>
      </c>
      <c r="C259" s="92">
        <v>13</v>
      </c>
      <c r="D259" s="103" t="s">
        <v>2084</v>
      </c>
      <c r="E259" s="67"/>
    </row>
    <row r="260" spans="1:5" ht="18" customHeight="1" x14ac:dyDescent="0.3">
      <c r="A260" s="111" t="s">
        <v>1657</v>
      </c>
      <c r="B260" s="111" t="s">
        <v>39</v>
      </c>
      <c r="C260" s="112">
        <v>15</v>
      </c>
      <c r="D260" s="111" t="s">
        <v>2084</v>
      </c>
      <c r="E260" s="111"/>
    </row>
    <row r="261" spans="1:5" ht="18" customHeight="1" x14ac:dyDescent="0.35">
      <c r="A261" s="103" t="s">
        <v>1661</v>
      </c>
      <c r="B261" s="103" t="s">
        <v>39</v>
      </c>
      <c r="C261" s="92">
        <v>15</v>
      </c>
      <c r="D261" s="103" t="s">
        <v>2084</v>
      </c>
      <c r="E261" s="67"/>
    </row>
    <row r="262" spans="1:5" ht="18" customHeight="1" x14ac:dyDescent="0.3">
      <c r="A262" s="111" t="s">
        <v>582</v>
      </c>
      <c r="B262" s="111" t="s">
        <v>39</v>
      </c>
      <c r="C262" s="112">
        <v>22</v>
      </c>
      <c r="D262" s="111" t="s">
        <v>2084</v>
      </c>
      <c r="E262" s="111"/>
    </row>
    <row r="263" spans="1:5" ht="18" customHeight="1" x14ac:dyDescent="0.35">
      <c r="A263" s="103" t="s">
        <v>585</v>
      </c>
      <c r="B263" s="103" t="s">
        <v>39</v>
      </c>
      <c r="C263" s="92">
        <v>22</v>
      </c>
      <c r="D263" s="103" t="s">
        <v>2084</v>
      </c>
      <c r="E263" s="67"/>
    </row>
    <row r="264" spans="1:5" ht="18" customHeight="1" x14ac:dyDescent="0.3">
      <c r="A264" s="111" t="s">
        <v>596</v>
      </c>
      <c r="B264" s="111" t="s">
        <v>39</v>
      </c>
      <c r="C264" s="112">
        <v>23</v>
      </c>
      <c r="D264" s="111" t="s">
        <v>2084</v>
      </c>
      <c r="E264" s="111"/>
    </row>
    <row r="265" spans="1:5" ht="18" customHeight="1" x14ac:dyDescent="0.35">
      <c r="A265" s="103" t="s">
        <v>599</v>
      </c>
      <c r="B265" s="103" t="s">
        <v>39</v>
      </c>
      <c r="C265" s="92">
        <v>23</v>
      </c>
      <c r="D265" s="103" t="s">
        <v>2084</v>
      </c>
      <c r="E265" s="67"/>
    </row>
    <row r="266" spans="1:5" ht="18" customHeight="1" x14ac:dyDescent="0.3">
      <c r="A266" s="111" t="s">
        <v>638</v>
      </c>
      <c r="B266" s="111" t="s">
        <v>39</v>
      </c>
      <c r="C266" s="112">
        <v>27</v>
      </c>
      <c r="D266" s="111" t="s">
        <v>2084</v>
      </c>
      <c r="E266" s="111"/>
    </row>
    <row r="267" spans="1:5" ht="18" customHeight="1" x14ac:dyDescent="0.35">
      <c r="A267" s="103" t="s">
        <v>654</v>
      </c>
      <c r="B267" s="103" t="s">
        <v>39</v>
      </c>
      <c r="C267" s="92">
        <v>29</v>
      </c>
      <c r="D267" s="103" t="s">
        <v>2084</v>
      </c>
      <c r="E267" s="67"/>
    </row>
    <row r="268" spans="1:5" ht="18" customHeight="1" x14ac:dyDescent="0.3">
      <c r="A268" s="111" t="s">
        <v>670</v>
      </c>
      <c r="B268" s="111" t="s">
        <v>39</v>
      </c>
      <c r="C268" s="112">
        <v>31</v>
      </c>
      <c r="D268" s="111" t="s">
        <v>2084</v>
      </c>
      <c r="E268" s="111"/>
    </row>
    <row r="269" spans="1:5" ht="18" customHeight="1" x14ac:dyDescent="0.35">
      <c r="A269" s="103" t="s">
        <v>2086</v>
      </c>
      <c r="B269" s="103" t="s">
        <v>39</v>
      </c>
      <c r="C269" s="92">
        <v>31</v>
      </c>
      <c r="D269" s="103" t="s">
        <v>2084</v>
      </c>
      <c r="E269" s="67"/>
    </row>
    <row r="270" spans="1:5" ht="18" customHeight="1" x14ac:dyDescent="0.3">
      <c r="A270" s="111" t="s">
        <v>675</v>
      </c>
      <c r="B270" s="111" t="s">
        <v>39</v>
      </c>
      <c r="C270" s="112">
        <v>31</v>
      </c>
      <c r="D270" s="111" t="s">
        <v>2084</v>
      </c>
      <c r="E270" s="111"/>
    </row>
    <row r="271" spans="1:5" ht="18" customHeight="1" x14ac:dyDescent="0.35">
      <c r="A271" s="103" t="s">
        <v>699</v>
      </c>
      <c r="B271" s="103" t="s">
        <v>39</v>
      </c>
      <c r="C271" s="92">
        <v>35</v>
      </c>
      <c r="D271" s="103" t="s">
        <v>2084</v>
      </c>
      <c r="E271" s="67"/>
    </row>
    <row r="272" spans="1:5" ht="18" customHeight="1" x14ac:dyDescent="0.3">
      <c r="A272" s="111" t="s">
        <v>771</v>
      </c>
      <c r="B272" s="111" t="s">
        <v>39</v>
      </c>
      <c r="C272" s="112">
        <v>41</v>
      </c>
      <c r="D272" s="111" t="s">
        <v>2084</v>
      </c>
      <c r="E272" s="111"/>
    </row>
    <row r="273" spans="1:5" ht="18" customHeight="1" x14ac:dyDescent="0.35">
      <c r="A273" s="103" t="s">
        <v>798</v>
      </c>
      <c r="B273" s="103" t="s">
        <v>39</v>
      </c>
      <c r="C273" s="92">
        <v>43</v>
      </c>
      <c r="D273" s="103" t="s">
        <v>2084</v>
      </c>
      <c r="E273" s="67"/>
    </row>
    <row r="274" spans="1:5" ht="18" customHeight="1" x14ac:dyDescent="0.3">
      <c r="A274" s="111" t="s">
        <v>909</v>
      </c>
      <c r="B274" s="111" t="s">
        <v>39</v>
      </c>
      <c r="C274" s="112">
        <v>51</v>
      </c>
      <c r="D274" s="111" t="s">
        <v>2084</v>
      </c>
      <c r="E274" s="111"/>
    </row>
    <row r="275" spans="1:5" ht="18" customHeight="1" x14ac:dyDescent="0.35">
      <c r="A275" s="103" t="s">
        <v>2087</v>
      </c>
      <c r="B275" s="103" t="s">
        <v>39</v>
      </c>
      <c r="C275" s="92">
        <v>51</v>
      </c>
      <c r="D275" s="103" t="s">
        <v>2084</v>
      </c>
      <c r="E275" s="67"/>
    </row>
    <row r="276" spans="1:5" ht="18" customHeight="1" x14ac:dyDescent="0.3">
      <c r="A276" s="111" t="s">
        <v>912</v>
      </c>
      <c r="B276" s="111" t="s">
        <v>39</v>
      </c>
      <c r="C276" s="112">
        <v>51</v>
      </c>
      <c r="D276" s="111" t="s">
        <v>2084</v>
      </c>
      <c r="E276" s="111"/>
    </row>
    <row r="277" spans="1:5" ht="18" customHeight="1" x14ac:dyDescent="0.35">
      <c r="A277" s="103" t="s">
        <v>1050</v>
      </c>
      <c r="B277" s="103" t="s">
        <v>39</v>
      </c>
      <c r="C277" s="92">
        <v>63</v>
      </c>
      <c r="D277" s="103" t="s">
        <v>2084</v>
      </c>
      <c r="E277" s="67"/>
    </row>
    <row r="278" spans="1:5" ht="18" customHeight="1" x14ac:dyDescent="0.3">
      <c r="A278" s="111" t="s">
        <v>1064</v>
      </c>
      <c r="B278" s="111" t="s">
        <v>39</v>
      </c>
      <c r="C278" s="112">
        <v>64</v>
      </c>
      <c r="D278" s="111" t="s">
        <v>2084</v>
      </c>
      <c r="E278" s="111"/>
    </row>
    <row r="279" spans="1:5" ht="18" customHeight="1" x14ac:dyDescent="0.35">
      <c r="A279" s="103" t="s">
        <v>1436</v>
      </c>
      <c r="B279" s="103" t="s">
        <v>39</v>
      </c>
      <c r="C279" s="92">
        <v>109</v>
      </c>
      <c r="D279" s="103" t="s">
        <v>2084</v>
      </c>
      <c r="E279" s="67"/>
    </row>
    <row r="280" spans="1:5" ht="18" customHeight="1" x14ac:dyDescent="0.3">
      <c r="A280" s="111" t="s">
        <v>1440</v>
      </c>
      <c r="B280" s="111" t="s">
        <v>39</v>
      </c>
      <c r="C280" s="112">
        <v>111</v>
      </c>
      <c r="D280" s="111" t="s">
        <v>2084</v>
      </c>
      <c r="E280" s="111"/>
    </row>
    <row r="281" spans="1:5" ht="18" customHeight="1" x14ac:dyDescent="0.35">
      <c r="A281" s="103" t="s">
        <v>1442</v>
      </c>
      <c r="B281" s="103" t="s">
        <v>39</v>
      </c>
      <c r="C281" s="92">
        <v>111</v>
      </c>
      <c r="D281" s="103" t="s">
        <v>2084</v>
      </c>
      <c r="E281" s="67"/>
    </row>
    <row r="282" spans="1:5" ht="18" customHeight="1" x14ac:dyDescent="0.3">
      <c r="A282" s="111" t="s">
        <v>1445</v>
      </c>
      <c r="B282" s="111" t="s">
        <v>39</v>
      </c>
      <c r="C282" s="112">
        <v>111</v>
      </c>
      <c r="D282" s="111" t="s">
        <v>2084</v>
      </c>
      <c r="E282" s="111"/>
    </row>
    <row r="283" spans="1:5" ht="18" customHeight="1" x14ac:dyDescent="0.35">
      <c r="A283" s="103" t="s">
        <v>1451</v>
      </c>
      <c r="B283" s="103" t="s">
        <v>39</v>
      </c>
      <c r="C283" s="92">
        <v>113</v>
      </c>
      <c r="D283" s="103" t="s">
        <v>2084</v>
      </c>
      <c r="E283" s="67"/>
    </row>
    <row r="284" spans="1:5" ht="18" customHeight="1" x14ac:dyDescent="0.3">
      <c r="A284" s="111" t="s">
        <v>1470</v>
      </c>
      <c r="B284" s="111" t="s">
        <v>39</v>
      </c>
      <c r="C284" s="112">
        <v>115</v>
      </c>
      <c r="D284" s="111" t="s">
        <v>2084</v>
      </c>
      <c r="E284" s="111"/>
    </row>
    <row r="285" spans="1:5" ht="18" customHeight="1" x14ac:dyDescent="0.35">
      <c r="A285" s="103" t="s">
        <v>1594</v>
      </c>
      <c r="B285" s="103" t="s">
        <v>39</v>
      </c>
      <c r="C285" s="92" t="s">
        <v>1590</v>
      </c>
      <c r="D285" s="103" t="s">
        <v>2084</v>
      </c>
      <c r="E285" s="67"/>
    </row>
    <row r="286" spans="1:5" ht="18" customHeight="1" x14ac:dyDescent="0.3">
      <c r="A286" s="111" t="s">
        <v>702</v>
      </c>
      <c r="B286" s="111" t="s">
        <v>689</v>
      </c>
      <c r="C286" s="112">
        <v>35</v>
      </c>
      <c r="D286" s="111" t="s">
        <v>2084</v>
      </c>
      <c r="E286" s="111"/>
    </row>
    <row r="287" spans="1:5" ht="18" customHeight="1" x14ac:dyDescent="0.35">
      <c r="A287" s="103" t="s">
        <v>490</v>
      </c>
      <c r="B287" s="103" t="s">
        <v>25</v>
      </c>
      <c r="C287" s="92">
        <v>8</v>
      </c>
      <c r="D287" s="103" t="s">
        <v>2084</v>
      </c>
      <c r="E287" s="67"/>
    </row>
    <row r="288" spans="1:5" ht="18" customHeight="1" x14ac:dyDescent="0.3">
      <c r="A288" s="111" t="s">
        <v>505</v>
      </c>
      <c r="B288" s="111" t="s">
        <v>25</v>
      </c>
      <c r="C288" s="112">
        <v>10</v>
      </c>
      <c r="D288" s="111" t="s">
        <v>2084</v>
      </c>
      <c r="E288" s="111"/>
    </row>
    <row r="289" spans="1:5" ht="18" customHeight="1" x14ac:dyDescent="0.35">
      <c r="A289" s="103" t="s">
        <v>683</v>
      </c>
      <c r="B289" s="103" t="s">
        <v>25</v>
      </c>
      <c r="C289" s="92">
        <v>32</v>
      </c>
      <c r="D289" s="103" t="s">
        <v>2084</v>
      </c>
      <c r="E289" s="67"/>
    </row>
    <row r="290" spans="1:5" ht="18" customHeight="1" x14ac:dyDescent="0.3">
      <c r="A290" s="111" t="s">
        <v>738</v>
      </c>
      <c r="B290" s="111" t="s">
        <v>25</v>
      </c>
      <c r="C290" s="112">
        <v>38</v>
      </c>
      <c r="D290" s="111" t="s">
        <v>2084</v>
      </c>
      <c r="E290" s="111"/>
    </row>
    <row r="291" spans="1:5" ht="18" customHeight="1" x14ac:dyDescent="0.35">
      <c r="A291" s="103" t="s">
        <v>756</v>
      </c>
      <c r="B291" s="103" t="s">
        <v>25</v>
      </c>
      <c r="C291" s="92">
        <v>40</v>
      </c>
      <c r="D291" s="103" t="s">
        <v>2084</v>
      </c>
      <c r="E291" s="67"/>
    </row>
    <row r="292" spans="1:5" ht="18" customHeight="1" x14ac:dyDescent="0.3">
      <c r="A292" s="111" t="s">
        <v>758</v>
      </c>
      <c r="B292" s="111" t="s">
        <v>25</v>
      </c>
      <c r="C292" s="112">
        <v>40</v>
      </c>
      <c r="D292" s="111" t="s">
        <v>2084</v>
      </c>
      <c r="E292" s="111"/>
    </row>
    <row r="293" spans="1:5" ht="18" customHeight="1" x14ac:dyDescent="0.35">
      <c r="A293" s="103" t="s">
        <v>854</v>
      </c>
      <c r="B293" s="103" t="s">
        <v>25</v>
      </c>
      <c r="C293" s="92">
        <v>48</v>
      </c>
      <c r="D293" s="103" t="s">
        <v>2084</v>
      </c>
      <c r="E293" s="67"/>
    </row>
    <row r="294" spans="1:5" ht="18" customHeight="1" x14ac:dyDescent="0.3">
      <c r="A294" s="111" t="s">
        <v>857</v>
      </c>
      <c r="B294" s="111" t="s">
        <v>25</v>
      </c>
      <c r="C294" s="112">
        <v>48</v>
      </c>
      <c r="D294" s="111" t="s">
        <v>2084</v>
      </c>
      <c r="E294" s="111"/>
    </row>
    <row r="295" spans="1:5" ht="18" customHeight="1" x14ac:dyDescent="0.35">
      <c r="A295" s="103" t="s">
        <v>877</v>
      </c>
      <c r="B295" s="103" t="s">
        <v>25</v>
      </c>
      <c r="C295" s="92">
        <v>49</v>
      </c>
      <c r="D295" s="103" t="s">
        <v>2084</v>
      </c>
      <c r="E295" s="67"/>
    </row>
    <row r="296" spans="1:5" ht="18" customHeight="1" x14ac:dyDescent="0.3">
      <c r="A296" s="111" t="s">
        <v>880</v>
      </c>
      <c r="B296" s="111" t="s">
        <v>25</v>
      </c>
      <c r="C296" s="112">
        <v>49</v>
      </c>
      <c r="D296" s="111" t="s">
        <v>2084</v>
      </c>
      <c r="E296" s="111"/>
    </row>
    <row r="297" spans="1:5" ht="18" customHeight="1" x14ac:dyDescent="0.35">
      <c r="A297" s="103" t="s">
        <v>885</v>
      </c>
      <c r="B297" s="103" t="s">
        <v>25</v>
      </c>
      <c r="C297" s="92">
        <v>50</v>
      </c>
      <c r="D297" s="103" t="s">
        <v>2084</v>
      </c>
      <c r="E297" s="67"/>
    </row>
    <row r="298" spans="1:5" ht="18" customHeight="1" x14ac:dyDescent="0.3">
      <c r="A298" s="111" t="s">
        <v>907</v>
      </c>
      <c r="B298" s="111" t="s">
        <v>25</v>
      </c>
      <c r="C298" s="112">
        <v>51</v>
      </c>
      <c r="D298" s="111" t="s">
        <v>2084</v>
      </c>
      <c r="E298" s="111"/>
    </row>
    <row r="299" spans="1:5" ht="18" customHeight="1" x14ac:dyDescent="0.35">
      <c r="A299" s="103" t="s">
        <v>914</v>
      </c>
      <c r="B299" s="103" t="s">
        <v>25</v>
      </c>
      <c r="C299" s="92">
        <v>51</v>
      </c>
      <c r="D299" s="103" t="s">
        <v>2084</v>
      </c>
      <c r="E299" s="67"/>
    </row>
    <row r="300" spans="1:5" ht="18" customHeight="1" x14ac:dyDescent="0.3">
      <c r="A300" s="111" t="s">
        <v>961</v>
      </c>
      <c r="B300" s="111" t="s">
        <v>25</v>
      </c>
      <c r="C300" s="112">
        <v>55</v>
      </c>
      <c r="D300" s="111" t="s">
        <v>2084</v>
      </c>
      <c r="E300" s="111"/>
    </row>
    <row r="301" spans="1:5" ht="18" customHeight="1" x14ac:dyDescent="0.35">
      <c r="A301" s="103" t="s">
        <v>948</v>
      </c>
      <c r="B301" s="103" t="s">
        <v>25</v>
      </c>
      <c r="C301" s="92">
        <v>54</v>
      </c>
      <c r="D301" s="103" t="s">
        <v>2084</v>
      </c>
      <c r="E301" s="67"/>
    </row>
    <row r="302" spans="1:5" ht="18" customHeight="1" x14ac:dyDescent="0.3">
      <c r="A302" s="111" t="s">
        <v>952</v>
      </c>
      <c r="B302" s="111" t="s">
        <v>25</v>
      </c>
      <c r="C302" s="112">
        <v>54</v>
      </c>
      <c r="D302" s="111" t="s">
        <v>2084</v>
      </c>
      <c r="E302" s="111"/>
    </row>
    <row r="303" spans="1:5" ht="18" customHeight="1" x14ac:dyDescent="0.35">
      <c r="A303" s="103" t="s">
        <v>972</v>
      </c>
      <c r="B303" s="103" t="s">
        <v>25</v>
      </c>
      <c r="C303" s="92">
        <v>56</v>
      </c>
      <c r="D303" s="103" t="s">
        <v>2084</v>
      </c>
      <c r="E303" s="67"/>
    </row>
    <row r="304" spans="1:5" ht="18" customHeight="1" x14ac:dyDescent="0.3">
      <c r="A304" s="111" t="s">
        <v>975</v>
      </c>
      <c r="B304" s="111" t="s">
        <v>25</v>
      </c>
      <c r="C304" s="112">
        <v>56</v>
      </c>
      <c r="D304" s="111" t="s">
        <v>2084</v>
      </c>
      <c r="E304" s="111"/>
    </row>
    <row r="305" spans="1:5" ht="18" customHeight="1" x14ac:dyDescent="0.35">
      <c r="A305" s="103" t="s">
        <v>1007</v>
      </c>
      <c r="B305" s="103" t="s">
        <v>25</v>
      </c>
      <c r="C305" s="92">
        <v>59</v>
      </c>
      <c r="D305" s="103" t="s">
        <v>2084</v>
      </c>
      <c r="E305" s="67"/>
    </row>
    <row r="306" spans="1:5" ht="18" customHeight="1" x14ac:dyDescent="0.3">
      <c r="A306" s="111" t="s">
        <v>253</v>
      </c>
      <c r="B306" s="111" t="s">
        <v>25</v>
      </c>
      <c r="C306" s="112">
        <v>60</v>
      </c>
      <c r="D306" s="111" t="s">
        <v>2084</v>
      </c>
      <c r="E306" s="111"/>
    </row>
    <row r="307" spans="1:5" ht="18" customHeight="1" x14ac:dyDescent="0.35">
      <c r="A307" s="103" t="s">
        <v>1019</v>
      </c>
      <c r="B307" s="103" t="s">
        <v>25</v>
      </c>
      <c r="C307" s="92">
        <v>60</v>
      </c>
      <c r="D307" s="103" t="s">
        <v>2084</v>
      </c>
      <c r="E307" s="67"/>
    </row>
    <row r="308" spans="1:5" ht="18" customHeight="1" x14ac:dyDescent="0.3">
      <c r="A308" s="111" t="s">
        <v>1034</v>
      </c>
      <c r="B308" s="111" t="s">
        <v>25</v>
      </c>
      <c r="C308" s="112">
        <v>61</v>
      </c>
      <c r="D308" s="111" t="s">
        <v>2084</v>
      </c>
      <c r="E308" s="111"/>
    </row>
    <row r="309" spans="1:5" ht="18" customHeight="1" x14ac:dyDescent="0.35">
      <c r="A309" s="103" t="s">
        <v>1052</v>
      </c>
      <c r="B309" s="103" t="s">
        <v>25</v>
      </c>
      <c r="C309" s="92">
        <v>63</v>
      </c>
      <c r="D309" s="103" t="s">
        <v>2084</v>
      </c>
      <c r="E309" s="67"/>
    </row>
    <row r="310" spans="1:5" ht="18" customHeight="1" x14ac:dyDescent="0.3">
      <c r="A310" s="111" t="s">
        <v>1099</v>
      </c>
      <c r="B310" s="111" t="s">
        <v>25</v>
      </c>
      <c r="C310" s="112">
        <v>68</v>
      </c>
      <c r="D310" s="111" t="s">
        <v>2084</v>
      </c>
      <c r="E310" s="111"/>
    </row>
    <row r="311" spans="1:5" ht="18" customHeight="1" x14ac:dyDescent="0.35">
      <c r="A311" s="103" t="s">
        <v>1120</v>
      </c>
      <c r="B311" s="103" t="s">
        <v>25</v>
      </c>
      <c r="C311" s="92">
        <v>70</v>
      </c>
      <c r="D311" s="103" t="s">
        <v>2084</v>
      </c>
      <c r="E311" s="67"/>
    </row>
    <row r="312" spans="1:5" ht="18" customHeight="1" x14ac:dyDescent="0.3">
      <c r="A312" s="111" t="s">
        <v>1123</v>
      </c>
      <c r="B312" s="111" t="s">
        <v>25</v>
      </c>
      <c r="C312" s="112">
        <v>70</v>
      </c>
      <c r="D312" s="111" t="s">
        <v>2084</v>
      </c>
      <c r="E312" s="111"/>
    </row>
    <row r="313" spans="1:5" ht="18" customHeight="1" x14ac:dyDescent="0.35">
      <c r="A313" s="103" t="s">
        <v>1127</v>
      </c>
      <c r="B313" s="103" t="s">
        <v>25</v>
      </c>
      <c r="C313" s="92">
        <v>70</v>
      </c>
      <c r="D313" s="103" t="s">
        <v>2084</v>
      </c>
      <c r="E313" s="67"/>
    </row>
    <row r="314" spans="1:5" ht="18" customHeight="1" x14ac:dyDescent="0.3">
      <c r="A314" s="111" t="s">
        <v>1129</v>
      </c>
      <c r="B314" s="111" t="s">
        <v>25</v>
      </c>
      <c r="C314" s="112">
        <v>70</v>
      </c>
      <c r="D314" s="111" t="s">
        <v>2084</v>
      </c>
      <c r="E314" s="111"/>
    </row>
    <row r="315" spans="1:5" ht="18" customHeight="1" x14ac:dyDescent="0.35">
      <c r="A315" s="103" t="s">
        <v>1142</v>
      </c>
      <c r="B315" s="103" t="s">
        <v>25</v>
      </c>
      <c r="C315" s="92">
        <v>72</v>
      </c>
      <c r="D315" s="103" t="s">
        <v>2084</v>
      </c>
      <c r="E315" s="67"/>
    </row>
    <row r="316" spans="1:5" ht="18" customHeight="1" x14ac:dyDescent="0.3">
      <c r="A316" s="111" t="s">
        <v>1144</v>
      </c>
      <c r="B316" s="111" t="s">
        <v>25</v>
      </c>
      <c r="C316" s="112">
        <v>72</v>
      </c>
      <c r="D316" s="111" t="s">
        <v>2084</v>
      </c>
      <c r="E316" s="111"/>
    </row>
    <row r="317" spans="1:5" ht="18" customHeight="1" x14ac:dyDescent="0.35">
      <c r="A317" s="103" t="s">
        <v>1166</v>
      </c>
      <c r="B317" s="103" t="s">
        <v>25</v>
      </c>
      <c r="C317" s="92">
        <v>74</v>
      </c>
      <c r="D317" s="103" t="s">
        <v>2084</v>
      </c>
      <c r="E317" s="67"/>
    </row>
    <row r="318" spans="1:5" ht="18" customHeight="1" x14ac:dyDescent="0.3">
      <c r="A318" s="111" t="s">
        <v>1168</v>
      </c>
      <c r="B318" s="111" t="s">
        <v>25</v>
      </c>
      <c r="C318" s="112">
        <v>74</v>
      </c>
      <c r="D318" s="111" t="s">
        <v>2084</v>
      </c>
      <c r="E318" s="111"/>
    </row>
    <row r="319" spans="1:5" ht="18" customHeight="1" x14ac:dyDescent="0.35">
      <c r="A319" s="103" t="s">
        <v>1170</v>
      </c>
      <c r="B319" s="103" t="s">
        <v>25</v>
      </c>
      <c r="C319" s="92">
        <v>74</v>
      </c>
      <c r="D319" s="103" t="s">
        <v>2084</v>
      </c>
      <c r="E319" s="67"/>
    </row>
    <row r="320" spans="1:5" ht="18" customHeight="1" x14ac:dyDescent="0.3">
      <c r="A320" s="111" t="s">
        <v>1198</v>
      </c>
      <c r="B320" s="111" t="s">
        <v>25</v>
      </c>
      <c r="C320" s="112">
        <v>77</v>
      </c>
      <c r="D320" s="111" t="s">
        <v>2084</v>
      </c>
      <c r="E320" s="111"/>
    </row>
    <row r="321" spans="1:5" ht="18" customHeight="1" x14ac:dyDescent="0.35">
      <c r="A321" s="103" t="s">
        <v>1213</v>
      </c>
      <c r="B321" s="103" t="s">
        <v>25</v>
      </c>
      <c r="C321" s="92">
        <v>79</v>
      </c>
      <c r="D321" s="103" t="s">
        <v>2084</v>
      </c>
      <c r="E321" s="67"/>
    </row>
    <row r="322" spans="1:5" ht="18" customHeight="1" x14ac:dyDescent="0.3">
      <c r="A322" s="111" t="s">
        <v>1215</v>
      </c>
      <c r="B322" s="111" t="s">
        <v>25</v>
      </c>
      <c r="C322" s="112">
        <v>80</v>
      </c>
      <c r="D322" s="111" t="s">
        <v>2084</v>
      </c>
      <c r="E322" s="111"/>
    </row>
    <row r="323" spans="1:5" ht="18" customHeight="1" x14ac:dyDescent="0.35">
      <c r="A323" s="103" t="s">
        <v>1231</v>
      </c>
      <c r="B323" s="103" t="s">
        <v>25</v>
      </c>
      <c r="C323" s="92">
        <v>81</v>
      </c>
      <c r="D323" s="103" t="s">
        <v>2084</v>
      </c>
      <c r="E323" s="67"/>
    </row>
    <row r="324" spans="1:5" ht="18" customHeight="1" x14ac:dyDescent="0.3">
      <c r="A324" s="111" t="s">
        <v>1236</v>
      </c>
      <c r="B324" s="111" t="s">
        <v>25</v>
      </c>
      <c r="C324" s="112">
        <v>81</v>
      </c>
      <c r="D324" s="111" t="s">
        <v>2084</v>
      </c>
      <c r="E324" s="111"/>
    </row>
    <row r="325" spans="1:5" ht="18" customHeight="1" x14ac:dyDescent="0.35">
      <c r="A325" s="103" t="s">
        <v>1238</v>
      </c>
      <c r="B325" s="103" t="s">
        <v>25</v>
      </c>
      <c r="C325" s="92">
        <v>81</v>
      </c>
      <c r="D325" s="103" t="s">
        <v>2084</v>
      </c>
      <c r="E325" s="67"/>
    </row>
    <row r="326" spans="1:5" ht="18" customHeight="1" x14ac:dyDescent="0.3">
      <c r="A326" s="111" t="s">
        <v>1247</v>
      </c>
      <c r="B326" s="111" t="s">
        <v>25</v>
      </c>
      <c r="C326" s="112">
        <v>83</v>
      </c>
      <c r="D326" s="111" t="s">
        <v>2084</v>
      </c>
      <c r="E326" s="111"/>
    </row>
    <row r="327" spans="1:5" ht="18" customHeight="1" x14ac:dyDescent="0.35">
      <c r="A327" s="103" t="s">
        <v>1249</v>
      </c>
      <c r="B327" s="103" t="s">
        <v>25</v>
      </c>
      <c r="C327" s="92">
        <v>83</v>
      </c>
      <c r="D327" s="103" t="s">
        <v>2084</v>
      </c>
      <c r="E327" s="67"/>
    </row>
    <row r="328" spans="1:5" ht="18" customHeight="1" x14ac:dyDescent="0.3">
      <c r="A328" s="111" t="s">
        <v>1310</v>
      </c>
      <c r="B328" s="111" t="s">
        <v>25</v>
      </c>
      <c r="C328" s="112">
        <v>91</v>
      </c>
      <c r="D328" s="111" t="s">
        <v>2084</v>
      </c>
      <c r="E328" s="111"/>
    </row>
    <row r="329" spans="1:5" ht="18" customHeight="1" x14ac:dyDescent="0.35">
      <c r="A329" s="103" t="s">
        <v>1792</v>
      </c>
      <c r="B329" s="103" t="s">
        <v>25</v>
      </c>
      <c r="C329" s="92" t="s">
        <v>1793</v>
      </c>
      <c r="D329" s="103" t="s">
        <v>2084</v>
      </c>
      <c r="E329" s="67"/>
    </row>
    <row r="330" spans="1:5" ht="18" customHeight="1" x14ac:dyDescent="0.3">
      <c r="A330" s="111" t="s">
        <v>1330</v>
      </c>
      <c r="B330" s="111" t="s">
        <v>25</v>
      </c>
      <c r="C330" s="112">
        <v>93</v>
      </c>
      <c r="D330" s="111" t="s">
        <v>2084</v>
      </c>
      <c r="E330" s="111"/>
    </row>
    <row r="331" spans="1:5" ht="18" customHeight="1" x14ac:dyDescent="0.35">
      <c r="A331" s="103" t="s">
        <v>1349</v>
      </c>
      <c r="B331" s="103" t="s">
        <v>25</v>
      </c>
      <c r="C331" s="92">
        <v>95</v>
      </c>
      <c r="D331" s="103" t="s">
        <v>2088</v>
      </c>
      <c r="E331" s="67"/>
    </row>
    <row r="332" spans="1:5" ht="18" customHeight="1" x14ac:dyDescent="0.3">
      <c r="A332" s="111" t="s">
        <v>1510</v>
      </c>
      <c r="B332" s="111" t="s">
        <v>25</v>
      </c>
      <c r="C332" s="112">
        <v>144</v>
      </c>
      <c r="D332" s="111" t="s">
        <v>2084</v>
      </c>
      <c r="E332" s="111"/>
    </row>
    <row r="333" spans="1:5" ht="18" customHeight="1" x14ac:dyDescent="0.35">
      <c r="A333" s="103" t="s">
        <v>1512</v>
      </c>
      <c r="B333" s="103" t="s">
        <v>25</v>
      </c>
      <c r="C333" s="92">
        <v>144</v>
      </c>
      <c r="D333" s="103" t="s">
        <v>2084</v>
      </c>
      <c r="E333" s="67"/>
    </row>
    <row r="334" spans="1:5" ht="18" customHeight="1" x14ac:dyDescent="0.3">
      <c r="A334" s="111" t="s">
        <v>712</v>
      </c>
      <c r="B334" s="111" t="s">
        <v>178</v>
      </c>
      <c r="C334" s="112">
        <v>36</v>
      </c>
      <c r="D334" s="111" t="s">
        <v>2084</v>
      </c>
      <c r="E334" s="111"/>
    </row>
    <row r="335" spans="1:5" ht="18" customHeight="1" x14ac:dyDescent="0.35">
      <c r="A335" s="103" t="s">
        <v>723</v>
      </c>
      <c r="B335" s="103" t="s">
        <v>178</v>
      </c>
      <c r="C335" s="92">
        <v>37</v>
      </c>
      <c r="D335" s="103" t="s">
        <v>2084</v>
      </c>
      <c r="E335" s="67"/>
    </row>
    <row r="336" spans="1:5" ht="18" customHeight="1" x14ac:dyDescent="0.3">
      <c r="A336" s="111" t="s">
        <v>725</v>
      </c>
      <c r="B336" s="111" t="s">
        <v>178</v>
      </c>
      <c r="C336" s="112">
        <v>37</v>
      </c>
      <c r="D336" s="111" t="s">
        <v>2084</v>
      </c>
      <c r="E336" s="111"/>
    </row>
    <row r="337" spans="1:5" ht="18" customHeight="1" x14ac:dyDescent="0.35">
      <c r="A337" s="103" t="s">
        <v>729</v>
      </c>
      <c r="B337" s="103" t="s">
        <v>178</v>
      </c>
      <c r="C337" s="92">
        <v>37</v>
      </c>
      <c r="D337" s="103" t="s">
        <v>2084</v>
      </c>
      <c r="E337" s="67"/>
    </row>
    <row r="338" spans="1:5" ht="18" customHeight="1" x14ac:dyDescent="0.3">
      <c r="A338" s="111" t="s">
        <v>741</v>
      </c>
      <c r="B338" s="111" t="s">
        <v>178</v>
      </c>
      <c r="C338" s="112">
        <v>38</v>
      </c>
      <c r="D338" s="111" t="s">
        <v>2084</v>
      </c>
      <c r="E338" s="111"/>
    </row>
    <row r="339" spans="1:5" ht="18" customHeight="1" x14ac:dyDescent="0.35">
      <c r="A339" s="103" t="s">
        <v>748</v>
      </c>
      <c r="B339" s="103" t="s">
        <v>178</v>
      </c>
      <c r="C339" s="92">
        <v>39</v>
      </c>
      <c r="D339" s="103" t="s">
        <v>2084</v>
      </c>
      <c r="E339" s="67"/>
    </row>
    <row r="340" spans="1:5" ht="18" customHeight="1" x14ac:dyDescent="0.3">
      <c r="A340" s="111" t="s">
        <v>750</v>
      </c>
      <c r="B340" s="111" t="s">
        <v>178</v>
      </c>
      <c r="C340" s="112">
        <v>39</v>
      </c>
      <c r="D340" s="111" t="s">
        <v>2084</v>
      </c>
      <c r="E340" s="111"/>
    </row>
    <row r="341" spans="1:5" ht="18" customHeight="1" x14ac:dyDescent="0.35">
      <c r="A341" s="103" t="s">
        <v>753</v>
      </c>
      <c r="B341" s="103" t="s">
        <v>178</v>
      </c>
      <c r="C341" s="92">
        <v>39</v>
      </c>
      <c r="D341" s="103" t="s">
        <v>2084</v>
      </c>
      <c r="E341" s="67"/>
    </row>
    <row r="342" spans="1:5" ht="18" customHeight="1" x14ac:dyDescent="0.3">
      <c r="A342" s="111" t="s">
        <v>763</v>
      </c>
      <c r="B342" s="111" t="s">
        <v>178</v>
      </c>
      <c r="C342" s="112">
        <v>40</v>
      </c>
      <c r="D342" s="111" t="s">
        <v>2084</v>
      </c>
      <c r="E342" s="111"/>
    </row>
    <row r="343" spans="1:5" ht="18" customHeight="1" x14ac:dyDescent="0.35">
      <c r="A343" s="103" t="s">
        <v>781</v>
      </c>
      <c r="B343" s="103" t="s">
        <v>178</v>
      </c>
      <c r="C343" s="92">
        <v>42</v>
      </c>
      <c r="D343" s="103" t="s">
        <v>2084</v>
      </c>
      <c r="E343" s="67"/>
    </row>
    <row r="344" spans="1:5" ht="18" customHeight="1" x14ac:dyDescent="0.3">
      <c r="A344" s="111" t="s">
        <v>811</v>
      </c>
      <c r="B344" s="111" t="s">
        <v>178</v>
      </c>
      <c r="C344" s="112">
        <v>45</v>
      </c>
      <c r="D344" s="111" t="s">
        <v>2084</v>
      </c>
      <c r="E344" s="111"/>
    </row>
    <row r="345" spans="1:5" ht="18" customHeight="1" x14ac:dyDescent="0.35">
      <c r="A345" s="103" t="s">
        <v>859</v>
      </c>
      <c r="B345" s="103" t="s">
        <v>178</v>
      </c>
      <c r="C345" s="92">
        <v>48</v>
      </c>
      <c r="D345" s="103" t="s">
        <v>2084</v>
      </c>
      <c r="E345" s="67"/>
    </row>
    <row r="346" spans="1:5" ht="18" customHeight="1" x14ac:dyDescent="0.3">
      <c r="A346" s="111" t="s">
        <v>861</v>
      </c>
      <c r="B346" s="111" t="s">
        <v>178</v>
      </c>
      <c r="C346" s="112">
        <v>48</v>
      </c>
      <c r="D346" s="111" t="s">
        <v>2084</v>
      </c>
      <c r="E346" s="111"/>
    </row>
    <row r="347" spans="1:5" ht="18" customHeight="1" x14ac:dyDescent="0.35">
      <c r="A347" s="103" t="s">
        <v>863</v>
      </c>
      <c r="B347" s="103" t="s">
        <v>178</v>
      </c>
      <c r="C347" s="92">
        <v>48</v>
      </c>
      <c r="D347" s="103" t="s">
        <v>2084</v>
      </c>
      <c r="E347" s="67"/>
    </row>
    <row r="348" spans="1:5" ht="18" customHeight="1" x14ac:dyDescent="0.3">
      <c r="A348" s="111" t="s">
        <v>443</v>
      </c>
      <c r="B348" s="111" t="s">
        <v>139</v>
      </c>
      <c r="C348" s="112">
        <v>1</v>
      </c>
      <c r="D348" s="111" t="s">
        <v>2084</v>
      </c>
      <c r="E348" s="111"/>
    </row>
    <row r="349" spans="1:5" ht="18" customHeight="1" x14ac:dyDescent="0.35">
      <c r="A349" s="103" t="s">
        <v>446</v>
      </c>
      <c r="B349" s="103" t="s">
        <v>139</v>
      </c>
      <c r="C349" s="92">
        <v>2</v>
      </c>
      <c r="D349" s="103" t="s">
        <v>2084</v>
      </c>
      <c r="E349" s="67"/>
    </row>
    <row r="350" spans="1:5" ht="18" customHeight="1" x14ac:dyDescent="0.3">
      <c r="A350" s="111" t="s">
        <v>2089</v>
      </c>
      <c r="B350" s="111" t="s">
        <v>139</v>
      </c>
      <c r="C350" s="112">
        <v>2</v>
      </c>
      <c r="D350" s="111" t="s">
        <v>2084</v>
      </c>
      <c r="E350" s="111"/>
    </row>
    <row r="351" spans="1:5" ht="18" customHeight="1" x14ac:dyDescent="0.35">
      <c r="A351" s="103" t="s">
        <v>454</v>
      </c>
      <c r="B351" s="103" t="s">
        <v>139</v>
      </c>
      <c r="C351" s="92">
        <v>3</v>
      </c>
      <c r="D351" s="103" t="s">
        <v>2084</v>
      </c>
      <c r="E351" s="67"/>
    </row>
    <row r="352" spans="1:5" ht="18" customHeight="1" x14ac:dyDescent="0.3">
      <c r="A352" s="111" t="s">
        <v>460</v>
      </c>
      <c r="B352" s="111" t="s">
        <v>139</v>
      </c>
      <c r="C352" s="112">
        <v>4</v>
      </c>
      <c r="D352" s="111" t="s">
        <v>2084</v>
      </c>
      <c r="E352" s="111"/>
    </row>
    <row r="353" spans="1:5" ht="18" customHeight="1" x14ac:dyDescent="0.35">
      <c r="A353" s="103" t="s">
        <v>462</v>
      </c>
      <c r="B353" s="103" t="s">
        <v>139</v>
      </c>
      <c r="C353" s="92">
        <v>4</v>
      </c>
      <c r="D353" s="103" t="s">
        <v>2084</v>
      </c>
      <c r="E353" s="67"/>
    </row>
    <row r="354" spans="1:5" ht="18" customHeight="1" x14ac:dyDescent="0.3">
      <c r="A354" s="111" t="s">
        <v>463</v>
      </c>
      <c r="B354" s="111" t="s">
        <v>139</v>
      </c>
      <c r="C354" s="112">
        <v>5</v>
      </c>
      <c r="D354" s="111" t="s">
        <v>2084</v>
      </c>
      <c r="E354" s="111"/>
    </row>
    <row r="355" spans="1:5" ht="18" customHeight="1" x14ac:dyDescent="0.35">
      <c r="A355" s="103" t="s">
        <v>2090</v>
      </c>
      <c r="B355" s="103" t="s">
        <v>139</v>
      </c>
      <c r="C355" s="92">
        <v>5</v>
      </c>
      <c r="D355" s="103" t="s">
        <v>2084</v>
      </c>
      <c r="E355" s="67"/>
    </row>
    <row r="356" spans="1:5" ht="18" customHeight="1" x14ac:dyDescent="0.3">
      <c r="A356" s="111" t="s">
        <v>467</v>
      </c>
      <c r="B356" s="111" t="s">
        <v>139</v>
      </c>
      <c r="C356" s="112">
        <v>5</v>
      </c>
      <c r="D356" s="111" t="s">
        <v>2084</v>
      </c>
      <c r="E356" s="111"/>
    </row>
    <row r="357" spans="1:5" ht="18" customHeight="1" x14ac:dyDescent="0.35">
      <c r="A357" s="103" t="s">
        <v>470</v>
      </c>
      <c r="B357" s="103" t="s">
        <v>139</v>
      </c>
      <c r="C357" s="92">
        <v>5</v>
      </c>
      <c r="D357" s="103" t="s">
        <v>2084</v>
      </c>
      <c r="E357" s="67"/>
    </row>
    <row r="358" spans="1:5" ht="18" customHeight="1" x14ac:dyDescent="0.3">
      <c r="A358" s="111" t="s">
        <v>473</v>
      </c>
      <c r="B358" s="111" t="s">
        <v>139</v>
      </c>
      <c r="C358" s="112">
        <v>5</v>
      </c>
      <c r="D358" s="111" t="s">
        <v>2084</v>
      </c>
      <c r="E358" s="111"/>
    </row>
    <row r="359" spans="1:5" ht="18" customHeight="1" x14ac:dyDescent="0.35">
      <c r="A359" s="103" t="s">
        <v>482</v>
      </c>
      <c r="B359" s="103" t="s">
        <v>139</v>
      </c>
      <c r="C359" s="92">
        <v>6</v>
      </c>
      <c r="D359" s="103" t="s">
        <v>2088</v>
      </c>
      <c r="E359" s="67"/>
    </row>
    <row r="360" spans="1:5" ht="18" customHeight="1" x14ac:dyDescent="0.3">
      <c r="A360" s="111" t="s">
        <v>483</v>
      </c>
      <c r="B360" s="111" t="s">
        <v>139</v>
      </c>
      <c r="C360" s="112">
        <v>7</v>
      </c>
      <c r="D360" s="111" t="s">
        <v>2084</v>
      </c>
      <c r="E360" s="111"/>
    </row>
    <row r="361" spans="1:5" ht="18" customHeight="1" x14ac:dyDescent="0.35">
      <c r="A361" s="103" t="s">
        <v>509</v>
      </c>
      <c r="B361" s="103" t="s">
        <v>139</v>
      </c>
      <c r="C361" s="92">
        <v>10</v>
      </c>
      <c r="D361" s="103" t="s">
        <v>2084</v>
      </c>
      <c r="E361" s="67"/>
    </row>
    <row r="362" spans="1:5" ht="18" customHeight="1" x14ac:dyDescent="0.3">
      <c r="A362" s="111" t="s">
        <v>482</v>
      </c>
      <c r="B362" s="111" t="s">
        <v>139</v>
      </c>
      <c r="C362" s="112">
        <v>11</v>
      </c>
      <c r="D362" s="111" t="s">
        <v>2088</v>
      </c>
      <c r="E362" s="111"/>
    </row>
    <row r="363" spans="1:5" ht="18" customHeight="1" x14ac:dyDescent="0.35">
      <c r="A363" s="103" t="s">
        <v>520</v>
      </c>
      <c r="B363" s="103" t="s">
        <v>139</v>
      </c>
      <c r="C363" s="92">
        <v>12</v>
      </c>
      <c r="D363" s="103" t="s">
        <v>2084</v>
      </c>
      <c r="E363" s="67"/>
    </row>
    <row r="364" spans="1:5" ht="18" customHeight="1" x14ac:dyDescent="0.3">
      <c r="A364" s="111" t="s">
        <v>523</v>
      </c>
      <c r="B364" s="111" t="s">
        <v>139</v>
      </c>
      <c r="C364" s="112">
        <v>12</v>
      </c>
      <c r="D364" s="111" t="s">
        <v>2084</v>
      </c>
      <c r="E364" s="111"/>
    </row>
    <row r="365" spans="1:5" ht="18" customHeight="1" x14ac:dyDescent="0.35">
      <c r="A365" s="103" t="s">
        <v>525</v>
      </c>
      <c r="B365" s="103" t="s">
        <v>139</v>
      </c>
      <c r="C365" s="92">
        <v>12</v>
      </c>
      <c r="D365" s="103" t="s">
        <v>2084</v>
      </c>
      <c r="E365" s="67"/>
    </row>
    <row r="366" spans="1:5" ht="18" customHeight="1" x14ac:dyDescent="0.3">
      <c r="A366" s="111" t="s">
        <v>588</v>
      </c>
      <c r="B366" s="111" t="s">
        <v>139</v>
      </c>
      <c r="C366" s="112">
        <v>22</v>
      </c>
      <c r="D366" s="111" t="s">
        <v>2084</v>
      </c>
      <c r="E366" s="111"/>
    </row>
    <row r="367" spans="1:5" ht="18" customHeight="1" x14ac:dyDescent="0.35">
      <c r="A367" s="103" t="s">
        <v>783</v>
      </c>
      <c r="B367" s="103" t="s">
        <v>139</v>
      </c>
      <c r="C367" s="92">
        <v>42</v>
      </c>
      <c r="D367" s="103" t="s">
        <v>2084</v>
      </c>
      <c r="E367" s="67"/>
    </row>
    <row r="368" spans="1:5" ht="18" customHeight="1" x14ac:dyDescent="0.3">
      <c r="A368" s="111" t="s">
        <v>2091</v>
      </c>
      <c r="B368" s="111" t="s">
        <v>139</v>
      </c>
      <c r="C368" s="112">
        <v>53</v>
      </c>
      <c r="D368" s="111" t="s">
        <v>2084</v>
      </c>
      <c r="E368" s="111"/>
    </row>
    <row r="369" spans="1:5" ht="18" customHeight="1" x14ac:dyDescent="0.35">
      <c r="A369" s="103" t="s">
        <v>943</v>
      </c>
      <c r="B369" s="103" t="s">
        <v>139</v>
      </c>
      <c r="C369" s="92">
        <v>53</v>
      </c>
      <c r="D369" s="103" t="s">
        <v>2084</v>
      </c>
      <c r="E369" s="67"/>
    </row>
    <row r="370" spans="1:5" ht="18" customHeight="1" x14ac:dyDescent="0.3">
      <c r="A370" s="111" t="s">
        <v>963</v>
      </c>
      <c r="B370" s="111" t="s">
        <v>139</v>
      </c>
      <c r="C370" s="112">
        <v>55</v>
      </c>
      <c r="D370" s="111" t="s">
        <v>2084</v>
      </c>
      <c r="E370" s="111"/>
    </row>
    <row r="371" spans="1:5" ht="18" customHeight="1" x14ac:dyDescent="0.35">
      <c r="A371" s="103" t="s">
        <v>1014</v>
      </c>
      <c r="B371" s="103" t="s">
        <v>139</v>
      </c>
      <c r="C371" s="92">
        <v>59</v>
      </c>
      <c r="D371" s="103" t="s">
        <v>2084</v>
      </c>
      <c r="E371" s="67"/>
    </row>
    <row r="372" spans="1:5" ht="18" customHeight="1" x14ac:dyDescent="0.3">
      <c r="A372" s="111" t="s">
        <v>1036</v>
      </c>
      <c r="B372" s="111" t="s">
        <v>139</v>
      </c>
      <c r="C372" s="112">
        <v>61</v>
      </c>
      <c r="D372" s="111" t="s">
        <v>2084</v>
      </c>
      <c r="E372" s="111"/>
    </row>
    <row r="373" spans="1:5" ht="18" customHeight="1" x14ac:dyDescent="0.35">
      <c r="A373" s="103" t="s">
        <v>1038</v>
      </c>
      <c r="B373" s="103" t="s">
        <v>139</v>
      </c>
      <c r="C373" s="92">
        <v>61</v>
      </c>
      <c r="D373" s="103" t="s">
        <v>2084</v>
      </c>
      <c r="E373" s="67"/>
    </row>
    <row r="374" spans="1:5" ht="18" customHeight="1" x14ac:dyDescent="0.3">
      <c r="A374" s="111" t="s">
        <v>1041</v>
      </c>
      <c r="B374" s="111" t="s">
        <v>139</v>
      </c>
      <c r="C374" s="112">
        <v>61</v>
      </c>
      <c r="D374" s="111" t="s">
        <v>2084</v>
      </c>
      <c r="E374" s="111"/>
    </row>
    <row r="375" spans="1:5" ht="18" customHeight="1" x14ac:dyDescent="0.35">
      <c r="A375" s="103" t="s">
        <v>1054</v>
      </c>
      <c r="B375" s="103" t="s">
        <v>139</v>
      </c>
      <c r="C375" s="92">
        <v>63</v>
      </c>
      <c r="D375" s="103" t="s">
        <v>2084</v>
      </c>
      <c r="E375" s="67"/>
    </row>
    <row r="376" spans="1:5" ht="18" customHeight="1" x14ac:dyDescent="0.3">
      <c r="A376" s="111" t="s">
        <v>1056</v>
      </c>
      <c r="B376" s="111" t="s">
        <v>139</v>
      </c>
      <c r="C376" s="112">
        <v>63</v>
      </c>
      <c r="D376" s="111" t="s">
        <v>2084</v>
      </c>
      <c r="E376" s="111"/>
    </row>
    <row r="377" spans="1:5" ht="18" customHeight="1" x14ac:dyDescent="0.35">
      <c r="A377" s="103" t="s">
        <v>1072</v>
      </c>
      <c r="B377" s="103" t="s">
        <v>139</v>
      </c>
      <c r="C377" s="92">
        <v>65</v>
      </c>
      <c r="D377" s="103" t="s">
        <v>2084</v>
      </c>
      <c r="E377" s="67"/>
    </row>
    <row r="378" spans="1:5" ht="18" customHeight="1" x14ac:dyDescent="0.3">
      <c r="A378" s="111" t="s">
        <v>1094</v>
      </c>
      <c r="B378" s="111" t="s">
        <v>139</v>
      </c>
      <c r="C378" s="112">
        <v>67</v>
      </c>
      <c r="D378" s="111" t="s">
        <v>2084</v>
      </c>
      <c r="E378" s="111"/>
    </row>
    <row r="379" spans="1:5" ht="18" customHeight="1" x14ac:dyDescent="0.35">
      <c r="A379" s="103" t="s">
        <v>1095</v>
      </c>
      <c r="B379" s="103" t="s">
        <v>139</v>
      </c>
      <c r="C379" s="92">
        <v>67</v>
      </c>
      <c r="D379" s="103" t="s">
        <v>2084</v>
      </c>
      <c r="E379" s="67"/>
    </row>
    <row r="380" spans="1:5" ht="18" customHeight="1" x14ac:dyDescent="0.3">
      <c r="A380" s="111" t="s">
        <v>1139</v>
      </c>
      <c r="B380" s="111" t="s">
        <v>139</v>
      </c>
      <c r="C380" s="112">
        <v>71</v>
      </c>
      <c r="D380" s="111" t="s">
        <v>2084</v>
      </c>
      <c r="E380" s="111"/>
    </row>
    <row r="381" spans="1:5" ht="18" customHeight="1" x14ac:dyDescent="0.35">
      <c r="A381" s="103" t="s">
        <v>1180</v>
      </c>
      <c r="B381" s="103" t="s">
        <v>139</v>
      </c>
      <c r="C381" s="92">
        <v>75</v>
      </c>
      <c r="D381" s="103" t="s">
        <v>2084</v>
      </c>
      <c r="E381" s="67"/>
    </row>
    <row r="382" spans="1:5" ht="18" customHeight="1" x14ac:dyDescent="0.3">
      <c r="A382" s="111" t="s">
        <v>1183</v>
      </c>
      <c r="B382" s="111" t="s">
        <v>139</v>
      </c>
      <c r="C382" s="112">
        <v>75</v>
      </c>
      <c r="D382" s="111" t="s">
        <v>2084</v>
      </c>
      <c r="E382" s="111"/>
    </row>
    <row r="383" spans="1:5" ht="18" customHeight="1" x14ac:dyDescent="0.35">
      <c r="A383" s="103" t="s">
        <v>1184</v>
      </c>
      <c r="B383" s="103" t="s">
        <v>139</v>
      </c>
      <c r="C383" s="92">
        <v>75</v>
      </c>
      <c r="D383" s="103" t="s">
        <v>2084</v>
      </c>
      <c r="E383" s="67"/>
    </row>
    <row r="384" spans="1:5" ht="18" customHeight="1" x14ac:dyDescent="0.3">
      <c r="A384" s="111" t="s">
        <v>443</v>
      </c>
      <c r="B384" s="111" t="s">
        <v>139</v>
      </c>
      <c r="C384" s="112">
        <v>76</v>
      </c>
      <c r="D384" s="111" t="s">
        <v>2084</v>
      </c>
      <c r="E384" s="111"/>
    </row>
    <row r="385" spans="1:5" ht="18" customHeight="1" x14ac:dyDescent="0.35">
      <c r="A385" s="103" t="s">
        <v>475</v>
      </c>
      <c r="B385" s="103" t="s">
        <v>389</v>
      </c>
      <c r="C385" s="92">
        <v>5</v>
      </c>
      <c r="D385" s="103" t="s">
        <v>2084</v>
      </c>
      <c r="E385" s="67"/>
    </row>
    <row r="386" spans="1:5" ht="18" customHeight="1" x14ac:dyDescent="0.3">
      <c r="A386" s="111" t="s">
        <v>485</v>
      </c>
      <c r="B386" s="111" t="s">
        <v>389</v>
      </c>
      <c r="C386" s="112">
        <v>7</v>
      </c>
      <c r="D386" s="111" t="s">
        <v>2084</v>
      </c>
      <c r="E386" s="111"/>
    </row>
    <row r="387" spans="1:5" ht="18" customHeight="1" x14ac:dyDescent="0.35">
      <c r="A387" s="103" t="s">
        <v>512</v>
      </c>
      <c r="B387" s="103" t="s">
        <v>389</v>
      </c>
      <c r="C387" s="92">
        <v>11</v>
      </c>
      <c r="D387" s="103" t="s">
        <v>2084</v>
      </c>
      <c r="E387" s="67"/>
    </row>
    <row r="388" spans="1:5" ht="18" customHeight="1" x14ac:dyDescent="0.3">
      <c r="A388" s="111" t="s">
        <v>530</v>
      </c>
      <c r="B388" s="111" t="s">
        <v>389</v>
      </c>
      <c r="C388" s="112">
        <v>13</v>
      </c>
      <c r="D388" s="111" t="s">
        <v>2084</v>
      </c>
      <c r="E388" s="111"/>
    </row>
    <row r="389" spans="1:5" ht="18" customHeight="1" x14ac:dyDescent="0.35">
      <c r="A389" s="103" t="s">
        <v>543</v>
      </c>
      <c r="B389" s="103" t="s">
        <v>389</v>
      </c>
      <c r="C389" s="92">
        <v>15</v>
      </c>
      <c r="D389" s="103" t="s">
        <v>2084</v>
      </c>
      <c r="E389" s="67"/>
    </row>
    <row r="390" spans="1:5" ht="18" customHeight="1" x14ac:dyDescent="0.3">
      <c r="A390" s="111" t="s">
        <v>552</v>
      </c>
      <c r="B390" s="111" t="s">
        <v>389</v>
      </c>
      <c r="C390" s="112">
        <v>18</v>
      </c>
      <c r="D390" s="111" t="s">
        <v>2084</v>
      </c>
      <c r="E390" s="111"/>
    </row>
    <row r="391" spans="1:5" ht="18" customHeight="1" x14ac:dyDescent="0.35">
      <c r="A391" s="103" t="s">
        <v>566</v>
      </c>
      <c r="B391" s="103" t="s">
        <v>389</v>
      </c>
      <c r="C391" s="92">
        <v>20</v>
      </c>
      <c r="D391" s="103" t="s">
        <v>2084</v>
      </c>
      <c r="E391" s="67"/>
    </row>
    <row r="392" spans="1:5" ht="18" customHeight="1" x14ac:dyDescent="0.3">
      <c r="A392" s="111" t="s">
        <v>569</v>
      </c>
      <c r="B392" s="111" t="s">
        <v>389</v>
      </c>
      <c r="C392" s="112">
        <v>20</v>
      </c>
      <c r="D392" s="111" t="s">
        <v>2084</v>
      </c>
      <c r="E392" s="111"/>
    </row>
    <row r="393" spans="1:5" ht="18" customHeight="1" x14ac:dyDescent="0.35">
      <c r="A393" s="103" t="s">
        <v>601</v>
      </c>
      <c r="B393" s="103" t="s">
        <v>389</v>
      </c>
      <c r="C393" s="92">
        <v>24</v>
      </c>
      <c r="D393" s="103" t="s">
        <v>2084</v>
      </c>
      <c r="E393" s="67"/>
    </row>
    <row r="394" spans="1:5" ht="18" customHeight="1" x14ac:dyDescent="0.3">
      <c r="A394" s="111" t="s">
        <v>478</v>
      </c>
      <c r="B394" s="111" t="s">
        <v>479</v>
      </c>
      <c r="C394" s="112">
        <v>5</v>
      </c>
      <c r="D394" s="111" t="s">
        <v>2084</v>
      </c>
      <c r="E394" s="111"/>
    </row>
    <row r="395" spans="1:5" ht="18" customHeight="1" x14ac:dyDescent="0.35">
      <c r="A395" s="103" t="s">
        <v>1102</v>
      </c>
      <c r="B395" s="103" t="s">
        <v>105</v>
      </c>
      <c r="C395" s="92">
        <v>68</v>
      </c>
      <c r="D395" s="103" t="s">
        <v>2084</v>
      </c>
      <c r="E395" s="67"/>
    </row>
    <row r="396" spans="1:5" ht="18" customHeight="1" x14ac:dyDescent="0.3">
      <c r="A396" s="111" t="s">
        <v>1131</v>
      </c>
      <c r="B396" s="111" t="s">
        <v>105</v>
      </c>
      <c r="C396" s="112">
        <v>70</v>
      </c>
      <c r="D396" s="111" t="s">
        <v>2084</v>
      </c>
      <c r="E396" s="111"/>
    </row>
    <row r="397" spans="1:5" ht="18" customHeight="1" x14ac:dyDescent="0.35">
      <c r="A397" s="103" t="s">
        <v>1134</v>
      </c>
      <c r="B397" s="103" t="s">
        <v>105</v>
      </c>
      <c r="C397" s="92">
        <v>70</v>
      </c>
      <c r="D397" s="103" t="s">
        <v>2084</v>
      </c>
      <c r="E397" s="67"/>
    </row>
    <row r="398" spans="1:5" ht="18" customHeight="1" x14ac:dyDescent="0.3">
      <c r="A398" s="111" t="s">
        <v>1146</v>
      </c>
      <c r="B398" s="111" t="s">
        <v>105</v>
      </c>
      <c r="C398" s="112">
        <v>72</v>
      </c>
      <c r="D398" s="111" t="s">
        <v>2084</v>
      </c>
      <c r="E398" s="111"/>
    </row>
    <row r="399" spans="1:5" ht="18" customHeight="1" x14ac:dyDescent="0.35">
      <c r="A399" s="103" t="s">
        <v>1148</v>
      </c>
      <c r="B399" s="103" t="s">
        <v>105</v>
      </c>
      <c r="C399" s="92">
        <v>72</v>
      </c>
      <c r="D399" s="103" t="s">
        <v>2084</v>
      </c>
      <c r="E399" s="67"/>
    </row>
    <row r="400" spans="1:5" ht="18" customHeight="1" x14ac:dyDescent="0.3">
      <c r="A400" s="111" t="s">
        <v>144</v>
      </c>
      <c r="B400" s="111" t="s">
        <v>105</v>
      </c>
      <c r="C400" s="112">
        <v>76</v>
      </c>
      <c r="D400" s="111" t="s">
        <v>2084</v>
      </c>
      <c r="E400" s="111"/>
    </row>
    <row r="401" spans="1:5" ht="18" customHeight="1" x14ac:dyDescent="0.35">
      <c r="A401" s="103" t="s">
        <v>1192</v>
      </c>
      <c r="B401" s="103" t="s">
        <v>105</v>
      </c>
      <c r="C401" s="92">
        <v>76</v>
      </c>
      <c r="D401" s="103" t="s">
        <v>2084</v>
      </c>
      <c r="E401" s="67"/>
    </row>
    <row r="402" spans="1:5" ht="18" customHeight="1" x14ac:dyDescent="0.3">
      <c r="A402" s="111" t="s">
        <v>1251</v>
      </c>
      <c r="B402" s="111" t="s">
        <v>105</v>
      </c>
      <c r="C402" s="112">
        <v>83</v>
      </c>
      <c r="D402" s="111" t="s">
        <v>2084</v>
      </c>
      <c r="E402" s="111"/>
    </row>
    <row r="403" spans="1:5" ht="18" customHeight="1" x14ac:dyDescent="0.35">
      <c r="A403" s="103" t="s">
        <v>1267</v>
      </c>
      <c r="B403" s="103" t="s">
        <v>105</v>
      </c>
      <c r="C403" s="92">
        <v>85</v>
      </c>
      <c r="D403" s="103" t="s">
        <v>2084</v>
      </c>
      <c r="E403" s="67"/>
    </row>
    <row r="404" spans="1:5" ht="18" customHeight="1" x14ac:dyDescent="0.3">
      <c r="A404" s="111" t="s">
        <v>1295</v>
      </c>
      <c r="B404" s="111" t="s">
        <v>105</v>
      </c>
      <c r="C404" s="112">
        <v>90</v>
      </c>
      <c r="D404" s="111" t="s">
        <v>2084</v>
      </c>
      <c r="E404" s="111"/>
    </row>
    <row r="405" spans="1:5" ht="18" customHeight="1" x14ac:dyDescent="0.35">
      <c r="A405" s="103" t="s">
        <v>1301</v>
      </c>
      <c r="B405" s="103" t="s">
        <v>105</v>
      </c>
      <c r="C405" s="92">
        <v>90</v>
      </c>
      <c r="D405" s="103" t="s">
        <v>2084</v>
      </c>
      <c r="E405" s="67"/>
    </row>
    <row r="406" spans="1:5" ht="18" customHeight="1" x14ac:dyDescent="0.3">
      <c r="A406" s="111" t="s">
        <v>1332</v>
      </c>
      <c r="B406" s="111" t="s">
        <v>105</v>
      </c>
      <c r="C406" s="112">
        <v>94</v>
      </c>
      <c r="D406" s="111" t="s">
        <v>2084</v>
      </c>
      <c r="E406" s="111"/>
    </row>
    <row r="407" spans="1:5" ht="18" customHeight="1" x14ac:dyDescent="0.35">
      <c r="A407" s="103" t="s">
        <v>1334</v>
      </c>
      <c r="B407" s="103" t="s">
        <v>105</v>
      </c>
      <c r="C407" s="92">
        <v>94</v>
      </c>
      <c r="D407" s="103" t="s">
        <v>2084</v>
      </c>
      <c r="E407" s="67"/>
    </row>
    <row r="408" spans="1:5" ht="18" customHeight="1" x14ac:dyDescent="0.3">
      <c r="A408" s="111" t="s">
        <v>1340</v>
      </c>
      <c r="B408" s="111" t="s">
        <v>105</v>
      </c>
      <c r="C408" s="112">
        <v>94</v>
      </c>
      <c r="D408" s="111" t="s">
        <v>2084</v>
      </c>
      <c r="E408" s="111"/>
    </row>
    <row r="409" spans="1:5" ht="18" customHeight="1" x14ac:dyDescent="0.35">
      <c r="A409" s="103" t="s">
        <v>1366</v>
      </c>
      <c r="B409" s="103" t="s">
        <v>105</v>
      </c>
      <c r="C409" s="92">
        <v>98</v>
      </c>
      <c r="D409" s="103" t="s">
        <v>2084</v>
      </c>
      <c r="E409" s="67"/>
    </row>
    <row r="410" spans="1:5" ht="18" customHeight="1" x14ac:dyDescent="0.3">
      <c r="A410" s="111" t="s">
        <v>1380</v>
      </c>
      <c r="B410" s="111" t="s">
        <v>105</v>
      </c>
      <c r="C410" s="112">
        <v>100</v>
      </c>
      <c r="D410" s="111" t="s">
        <v>2084</v>
      </c>
      <c r="E410" s="111"/>
    </row>
    <row r="411" spans="1:5" ht="18" customHeight="1" x14ac:dyDescent="0.35">
      <c r="A411" s="103" t="s">
        <v>1731</v>
      </c>
      <c r="B411" s="103" t="s">
        <v>105</v>
      </c>
      <c r="C411" s="92">
        <v>35</v>
      </c>
      <c r="D411" s="103" t="s">
        <v>2084</v>
      </c>
      <c r="E411" s="67"/>
    </row>
    <row r="412" spans="1:5" ht="18" customHeight="1" x14ac:dyDescent="0.3">
      <c r="A412" s="111" t="s">
        <v>715</v>
      </c>
      <c r="B412" s="111" t="s">
        <v>105</v>
      </c>
      <c r="C412" s="112">
        <v>36</v>
      </c>
      <c r="D412" s="111" t="s">
        <v>2084</v>
      </c>
      <c r="E412" s="111"/>
    </row>
    <row r="413" spans="1:5" ht="18" customHeight="1" x14ac:dyDescent="0.35">
      <c r="A413" s="103" t="s">
        <v>717</v>
      </c>
      <c r="B413" s="103" t="s">
        <v>105</v>
      </c>
      <c r="C413" s="92">
        <v>36</v>
      </c>
      <c r="D413" s="103" t="s">
        <v>2084</v>
      </c>
      <c r="E413" s="67"/>
    </row>
    <row r="414" spans="1:5" ht="18" customHeight="1" x14ac:dyDescent="0.3">
      <c r="A414" s="111" t="s">
        <v>801</v>
      </c>
      <c r="B414" s="111" t="s">
        <v>29</v>
      </c>
      <c r="C414" s="112">
        <v>44</v>
      </c>
      <c r="D414" s="111" t="s">
        <v>2084</v>
      </c>
      <c r="E414" s="111"/>
    </row>
    <row r="415" spans="1:5" ht="18" customHeight="1" x14ac:dyDescent="0.35">
      <c r="A415" s="103" t="s">
        <v>825</v>
      </c>
      <c r="B415" s="103" t="s">
        <v>29</v>
      </c>
      <c r="C415" s="92">
        <v>46</v>
      </c>
      <c r="D415" s="103" t="s">
        <v>2084</v>
      </c>
      <c r="E415" s="67"/>
    </row>
    <row r="416" spans="1:5" ht="18" customHeight="1" x14ac:dyDescent="0.3">
      <c r="A416" s="111" t="s">
        <v>827</v>
      </c>
      <c r="B416" s="111" t="s">
        <v>29</v>
      </c>
      <c r="C416" s="112">
        <v>46</v>
      </c>
      <c r="D416" s="111" t="s">
        <v>2084</v>
      </c>
      <c r="E416" s="111"/>
    </row>
    <row r="417" spans="1:5" ht="18" customHeight="1" x14ac:dyDescent="0.35">
      <c r="A417" s="103" t="s">
        <v>829</v>
      </c>
      <c r="B417" s="103" t="s">
        <v>29</v>
      </c>
      <c r="C417" s="92">
        <v>46</v>
      </c>
      <c r="D417" s="103" t="s">
        <v>2084</v>
      </c>
      <c r="E417" s="67"/>
    </row>
    <row r="418" spans="1:5" ht="18" customHeight="1" x14ac:dyDescent="0.3">
      <c r="A418" s="111" t="s">
        <v>929</v>
      </c>
      <c r="B418" s="111" t="s">
        <v>29</v>
      </c>
      <c r="C418" s="112">
        <v>52</v>
      </c>
      <c r="D418" s="111" t="s">
        <v>2088</v>
      </c>
      <c r="E418" s="111"/>
    </row>
    <row r="419" spans="1:5" ht="18" customHeight="1" x14ac:dyDescent="0.35">
      <c r="A419" s="103" t="s">
        <v>978</v>
      </c>
      <c r="B419" s="103" t="s">
        <v>29</v>
      </c>
      <c r="C419" s="92">
        <v>56</v>
      </c>
      <c r="D419" s="103" t="s">
        <v>2084</v>
      </c>
      <c r="E419" s="67"/>
    </row>
    <row r="420" spans="1:5" ht="18" customHeight="1" x14ac:dyDescent="0.3">
      <c r="A420" s="111" t="s">
        <v>992</v>
      </c>
      <c r="B420" s="111" t="s">
        <v>29</v>
      </c>
      <c r="C420" s="112">
        <v>58</v>
      </c>
      <c r="D420" s="111" t="s">
        <v>2084</v>
      </c>
      <c r="E420" s="111"/>
    </row>
    <row r="421" spans="1:5" ht="18" customHeight="1" x14ac:dyDescent="0.35">
      <c r="A421" s="103" t="s">
        <v>1048</v>
      </c>
      <c r="B421" s="103" t="s">
        <v>29</v>
      </c>
      <c r="C421" s="92">
        <v>62</v>
      </c>
      <c r="D421" s="103" t="s">
        <v>2084</v>
      </c>
      <c r="E421" s="67"/>
    </row>
    <row r="422" spans="1:5" ht="18" customHeight="1" x14ac:dyDescent="0.3">
      <c r="A422" s="111" t="s">
        <v>1077</v>
      </c>
      <c r="B422" s="111" t="s">
        <v>29</v>
      </c>
      <c r="C422" s="112">
        <v>65</v>
      </c>
      <c r="D422" s="111" t="s">
        <v>2084</v>
      </c>
      <c r="E422" s="111"/>
    </row>
    <row r="423" spans="1:5" ht="18" customHeight="1" x14ac:dyDescent="0.35">
      <c r="A423" s="103" t="s">
        <v>1078</v>
      </c>
      <c r="B423" s="103" t="s">
        <v>29</v>
      </c>
      <c r="C423" s="92">
        <v>65</v>
      </c>
      <c r="D423" s="103" t="s">
        <v>2084</v>
      </c>
      <c r="E423" s="67"/>
    </row>
    <row r="424" spans="1:5" ht="18" customHeight="1" x14ac:dyDescent="0.3">
      <c r="A424" s="111" t="s">
        <v>1091</v>
      </c>
      <c r="B424" s="111" t="s">
        <v>29</v>
      </c>
      <c r="C424" s="112">
        <v>66</v>
      </c>
      <c r="D424" s="111" t="s">
        <v>2084</v>
      </c>
      <c r="E424" s="111"/>
    </row>
    <row r="425" spans="1:5" ht="18" customHeight="1" x14ac:dyDescent="0.35">
      <c r="A425" s="103" t="s">
        <v>1097</v>
      </c>
      <c r="B425" s="103" t="s">
        <v>29</v>
      </c>
      <c r="C425" s="92">
        <v>67</v>
      </c>
      <c r="D425" s="103" t="s">
        <v>2084</v>
      </c>
      <c r="E425" s="67"/>
    </row>
    <row r="426" spans="1:5" ht="18" customHeight="1" x14ac:dyDescent="0.3">
      <c r="A426" s="111" t="s">
        <v>1396</v>
      </c>
      <c r="B426" s="111" t="s">
        <v>29</v>
      </c>
      <c r="C426" s="112">
        <v>102</v>
      </c>
      <c r="D426" s="111" t="s">
        <v>2084</v>
      </c>
      <c r="E426" s="111"/>
    </row>
    <row r="427" spans="1:5" ht="18" customHeight="1" x14ac:dyDescent="0.35">
      <c r="A427" s="103" t="s">
        <v>1403</v>
      </c>
      <c r="B427" s="103" t="s">
        <v>29</v>
      </c>
      <c r="C427" s="92">
        <v>103</v>
      </c>
      <c r="D427" s="103" t="s">
        <v>2084</v>
      </c>
      <c r="E427" s="67"/>
    </row>
    <row r="428" spans="1:5" ht="18" customHeight="1" x14ac:dyDescent="0.3">
      <c r="A428" s="111" t="s">
        <v>1219</v>
      </c>
      <c r="B428" s="111" t="s">
        <v>150</v>
      </c>
      <c r="C428" s="112">
        <v>80</v>
      </c>
      <c r="D428" s="111" t="s">
        <v>2084</v>
      </c>
      <c r="E428" s="111"/>
    </row>
    <row r="429" spans="1:5" ht="18" customHeight="1" x14ac:dyDescent="0.35">
      <c r="A429" s="103" t="s">
        <v>1244</v>
      </c>
      <c r="B429" s="103" t="s">
        <v>150</v>
      </c>
      <c r="C429" s="92">
        <v>82</v>
      </c>
      <c r="D429" s="103" t="s">
        <v>2084</v>
      </c>
      <c r="E429" s="67"/>
    </row>
    <row r="430" spans="1:5" ht="18" customHeight="1" x14ac:dyDescent="0.3">
      <c r="A430" s="111" t="s">
        <v>1245</v>
      </c>
      <c r="B430" s="111" t="s">
        <v>150</v>
      </c>
      <c r="C430" s="112">
        <v>82</v>
      </c>
      <c r="D430" s="111" t="s">
        <v>2084</v>
      </c>
      <c r="E430" s="111"/>
    </row>
    <row r="431" spans="1:5" ht="18" customHeight="1" x14ac:dyDescent="0.35">
      <c r="A431" s="103" t="s">
        <v>1258</v>
      </c>
      <c r="B431" s="103" t="s">
        <v>150</v>
      </c>
      <c r="C431" s="92">
        <v>84</v>
      </c>
      <c r="D431" s="103" t="s">
        <v>2084</v>
      </c>
      <c r="E431" s="67"/>
    </row>
    <row r="432" spans="1:5" ht="18" customHeight="1" x14ac:dyDescent="0.3">
      <c r="A432" s="111" t="s">
        <v>1259</v>
      </c>
      <c r="B432" s="111" t="s">
        <v>150</v>
      </c>
      <c r="C432" s="112">
        <v>84</v>
      </c>
      <c r="D432" s="111" t="s">
        <v>2084</v>
      </c>
      <c r="E432" s="111"/>
    </row>
    <row r="433" spans="1:5" ht="18" customHeight="1" x14ac:dyDescent="0.35">
      <c r="A433" s="103" t="s">
        <v>1262</v>
      </c>
      <c r="B433" s="103" t="s">
        <v>150</v>
      </c>
      <c r="C433" s="92">
        <v>84</v>
      </c>
      <c r="D433" s="103" t="s">
        <v>2084</v>
      </c>
      <c r="E433" s="67"/>
    </row>
    <row r="434" spans="1:5" ht="18" customHeight="1" x14ac:dyDescent="0.3">
      <c r="A434" s="111" t="s">
        <v>1273</v>
      </c>
      <c r="B434" s="111" t="s">
        <v>150</v>
      </c>
      <c r="C434" s="112">
        <v>86</v>
      </c>
      <c r="D434" s="111" t="s">
        <v>2084</v>
      </c>
      <c r="E434" s="111"/>
    </row>
    <row r="435" spans="1:5" ht="18" customHeight="1" x14ac:dyDescent="0.35">
      <c r="A435" s="103" t="s">
        <v>1282</v>
      </c>
      <c r="B435" s="103" t="s">
        <v>150</v>
      </c>
      <c r="C435" s="92">
        <v>88</v>
      </c>
      <c r="D435" s="103" t="s">
        <v>2084</v>
      </c>
      <c r="E435" s="67"/>
    </row>
    <row r="436" spans="1:5" ht="18" customHeight="1" x14ac:dyDescent="0.3">
      <c r="A436" s="111" t="s">
        <v>1304</v>
      </c>
      <c r="B436" s="111" t="s">
        <v>150</v>
      </c>
      <c r="C436" s="112">
        <v>90</v>
      </c>
      <c r="D436" s="111" t="s">
        <v>2084</v>
      </c>
      <c r="E436" s="111"/>
    </row>
    <row r="437" spans="1:5" ht="18" customHeight="1" x14ac:dyDescent="0.35">
      <c r="A437" s="103" t="s">
        <v>1342</v>
      </c>
      <c r="B437" s="103" t="s">
        <v>150</v>
      </c>
      <c r="C437" s="92">
        <v>94</v>
      </c>
      <c r="D437" s="103" t="s">
        <v>2084</v>
      </c>
      <c r="E437" s="67"/>
    </row>
    <row r="438" spans="1:5" ht="18" customHeight="1" x14ac:dyDescent="0.3">
      <c r="A438" s="111" t="s">
        <v>1363</v>
      </c>
      <c r="B438" s="111" t="s">
        <v>150</v>
      </c>
      <c r="C438" s="112">
        <v>97</v>
      </c>
      <c r="D438" s="111" t="s">
        <v>2084</v>
      </c>
      <c r="E438" s="111"/>
    </row>
    <row r="439" spans="1:5" ht="18" customHeight="1" x14ac:dyDescent="0.35">
      <c r="A439" s="103" t="s">
        <v>1369</v>
      </c>
      <c r="B439" s="103" t="s">
        <v>150</v>
      </c>
      <c r="C439" s="92">
        <v>98</v>
      </c>
      <c r="D439" s="103" t="s">
        <v>2084</v>
      </c>
      <c r="E439" s="67"/>
    </row>
    <row r="440" spans="1:5" ht="18" customHeight="1" x14ac:dyDescent="0.3">
      <c r="A440" s="111" t="s">
        <v>1372</v>
      </c>
      <c r="B440" s="111" t="s">
        <v>150</v>
      </c>
      <c r="C440" s="112">
        <v>98</v>
      </c>
      <c r="D440" s="111" t="s">
        <v>2084</v>
      </c>
      <c r="E440" s="111"/>
    </row>
    <row r="441" spans="1:5" ht="18" customHeight="1" x14ac:dyDescent="0.35">
      <c r="A441" s="103" t="s">
        <v>1384</v>
      </c>
      <c r="B441" s="103" t="s">
        <v>150</v>
      </c>
      <c r="C441" s="92">
        <v>100</v>
      </c>
      <c r="D441" s="103" t="s">
        <v>2084</v>
      </c>
      <c r="E441" s="67"/>
    </row>
    <row r="442" spans="1:5" ht="18" customHeight="1" x14ac:dyDescent="0.3">
      <c r="A442" s="111" t="s">
        <v>1393</v>
      </c>
      <c r="B442" s="111" t="s">
        <v>150</v>
      </c>
      <c r="C442" s="112">
        <v>101</v>
      </c>
      <c r="D442" s="111" t="s">
        <v>2084</v>
      </c>
      <c r="E442" s="111"/>
    </row>
    <row r="443" spans="1:5" ht="18" customHeight="1" x14ac:dyDescent="0.35">
      <c r="A443" s="103" t="s">
        <v>1399</v>
      </c>
      <c r="B443" s="103" t="s">
        <v>150</v>
      </c>
      <c r="C443" s="92">
        <v>102</v>
      </c>
      <c r="D443" s="103" t="s">
        <v>2084</v>
      </c>
      <c r="E443" s="67"/>
    </row>
    <row r="444" spans="1:5" ht="18" customHeight="1" x14ac:dyDescent="0.3">
      <c r="A444" s="111" t="s">
        <v>1406</v>
      </c>
      <c r="B444" s="111" t="s">
        <v>150</v>
      </c>
      <c r="C444" s="112">
        <v>103</v>
      </c>
      <c r="D444" s="111" t="s">
        <v>2084</v>
      </c>
      <c r="E444" s="111"/>
    </row>
    <row r="445" spans="1:5" ht="18" customHeight="1" x14ac:dyDescent="0.35">
      <c r="A445" s="103" t="s">
        <v>1409</v>
      </c>
      <c r="B445" s="103" t="s">
        <v>150</v>
      </c>
      <c r="C445" s="92">
        <v>103</v>
      </c>
      <c r="D445" s="103" t="s">
        <v>2084</v>
      </c>
      <c r="E445" s="67"/>
    </row>
    <row r="446" spans="1:5" ht="18" customHeight="1" x14ac:dyDescent="0.3">
      <c r="A446" s="111" t="s">
        <v>1419</v>
      </c>
      <c r="B446" s="111" t="s">
        <v>150</v>
      </c>
      <c r="C446" s="112">
        <v>104</v>
      </c>
      <c r="D446" s="111" t="s">
        <v>2084</v>
      </c>
      <c r="E446" s="111"/>
    </row>
    <row r="447" spans="1:5" ht="18" customHeight="1" x14ac:dyDescent="0.35">
      <c r="A447" s="103" t="s">
        <v>1422</v>
      </c>
      <c r="B447" s="103" t="s">
        <v>150</v>
      </c>
      <c r="C447" s="92">
        <v>104</v>
      </c>
      <c r="D447" s="103" t="s">
        <v>2084</v>
      </c>
      <c r="E447" s="67"/>
    </row>
    <row r="448" spans="1:5" ht="18" customHeight="1" x14ac:dyDescent="0.3">
      <c r="A448" s="111" t="s">
        <v>1425</v>
      </c>
      <c r="B448" s="111" t="s">
        <v>150</v>
      </c>
      <c r="C448" s="112">
        <v>104</v>
      </c>
      <c r="D448" s="111" t="s">
        <v>2084</v>
      </c>
      <c r="E448" s="111"/>
    </row>
    <row r="449" spans="1:5" ht="18" customHeight="1" x14ac:dyDescent="0.35">
      <c r="A449" s="103" t="s">
        <v>1428</v>
      </c>
      <c r="B449" s="103" t="s">
        <v>150</v>
      </c>
      <c r="C449" s="92">
        <v>105</v>
      </c>
      <c r="D449" s="103" t="s">
        <v>2084</v>
      </c>
      <c r="E449" s="67"/>
    </row>
    <row r="450" spans="1:5" ht="18" customHeight="1" x14ac:dyDescent="0.3">
      <c r="A450" s="111" t="s">
        <v>1434</v>
      </c>
      <c r="B450" s="111" t="s">
        <v>150</v>
      </c>
      <c r="C450" s="112">
        <v>108</v>
      </c>
      <c r="D450" s="111" t="s">
        <v>2084</v>
      </c>
      <c r="E450" s="111"/>
    </row>
    <row r="451" spans="1:5" ht="18" customHeight="1" x14ac:dyDescent="0.35">
      <c r="A451" s="103" t="s">
        <v>965</v>
      </c>
      <c r="B451" s="103" t="s">
        <v>394</v>
      </c>
      <c r="C451" s="92">
        <v>55</v>
      </c>
      <c r="D451" s="103" t="s">
        <v>2084</v>
      </c>
      <c r="E451" s="67"/>
    </row>
    <row r="452" spans="1:5" ht="18" customHeight="1" x14ac:dyDescent="0.3">
      <c r="A452" s="111" t="s">
        <v>967</v>
      </c>
      <c r="B452" s="111" t="s">
        <v>394</v>
      </c>
      <c r="C452" s="112">
        <v>55</v>
      </c>
      <c r="D452" s="111" t="s">
        <v>2084</v>
      </c>
      <c r="E452" s="111"/>
    </row>
    <row r="453" spans="1:5" ht="18" customHeight="1" x14ac:dyDescent="0.35">
      <c r="A453" s="103" t="s">
        <v>2092</v>
      </c>
      <c r="B453" s="103" t="s">
        <v>394</v>
      </c>
      <c r="C453" s="92">
        <v>55</v>
      </c>
      <c r="D453" s="103" t="s">
        <v>2084</v>
      </c>
      <c r="E453" s="67"/>
    </row>
    <row r="454" spans="1:5" ht="18" customHeight="1" x14ac:dyDescent="0.3">
      <c r="A454" s="111" t="s">
        <v>987</v>
      </c>
      <c r="B454" s="111" t="s">
        <v>394</v>
      </c>
      <c r="C454" s="112">
        <v>57</v>
      </c>
      <c r="D454" s="111" t="s">
        <v>2084</v>
      </c>
      <c r="E454" s="111"/>
    </row>
    <row r="455" spans="1:5" ht="18" customHeight="1" x14ac:dyDescent="0.35">
      <c r="A455" s="103" t="s">
        <v>989</v>
      </c>
      <c r="B455" s="103" t="s">
        <v>394</v>
      </c>
      <c r="C455" s="92">
        <v>57</v>
      </c>
      <c r="D455" s="103" t="s">
        <v>2084</v>
      </c>
      <c r="E455" s="67"/>
    </row>
    <row r="456" spans="1:5" ht="18" customHeight="1" x14ac:dyDescent="0.3">
      <c r="A456" s="111" t="s">
        <v>1043</v>
      </c>
      <c r="B456" s="111" t="s">
        <v>394</v>
      </c>
      <c r="C456" s="112">
        <v>61</v>
      </c>
      <c r="D456" s="111" t="s">
        <v>2084</v>
      </c>
      <c r="E456" s="111"/>
    </row>
    <row r="457" spans="1:5" ht="18" customHeight="1" x14ac:dyDescent="0.35">
      <c r="A457" s="103" t="s">
        <v>1059</v>
      </c>
      <c r="B457" s="103" t="s">
        <v>394</v>
      </c>
      <c r="C457" s="92">
        <v>63</v>
      </c>
      <c r="D457" s="103" t="s">
        <v>2084</v>
      </c>
      <c r="E457" s="67"/>
    </row>
    <row r="458" spans="1:5" ht="18" customHeight="1" x14ac:dyDescent="0.3">
      <c r="A458" s="111" t="s">
        <v>1061</v>
      </c>
      <c r="B458" s="111" t="s">
        <v>394</v>
      </c>
      <c r="C458" s="112">
        <v>63</v>
      </c>
      <c r="D458" s="111" t="s">
        <v>2084</v>
      </c>
      <c r="E458" s="111"/>
    </row>
    <row r="459" spans="1:5" ht="18" customHeight="1" x14ac:dyDescent="0.35">
      <c r="A459" s="103" t="s">
        <v>1079</v>
      </c>
      <c r="B459" s="103" t="s">
        <v>394</v>
      </c>
      <c r="C459" s="92">
        <v>65</v>
      </c>
      <c r="D459" s="103" t="s">
        <v>2084</v>
      </c>
      <c r="E459" s="67"/>
    </row>
    <row r="460" spans="1:5" ht="18" customHeight="1" x14ac:dyDescent="0.3">
      <c r="A460" s="111" t="s">
        <v>1081</v>
      </c>
      <c r="B460" s="111" t="s">
        <v>394</v>
      </c>
      <c r="C460" s="112">
        <v>65</v>
      </c>
      <c r="D460" s="111" t="s">
        <v>2084</v>
      </c>
      <c r="E460" s="111"/>
    </row>
    <row r="461" spans="1:5" ht="18" customHeight="1" x14ac:dyDescent="0.35">
      <c r="A461" s="103" t="s">
        <v>1112</v>
      </c>
      <c r="B461" s="103" t="s">
        <v>394</v>
      </c>
      <c r="C461" s="92">
        <v>69</v>
      </c>
      <c r="D461" s="103" t="s">
        <v>2084</v>
      </c>
      <c r="E461" s="67"/>
    </row>
    <row r="462" spans="1:5" ht="18" customHeight="1" x14ac:dyDescent="0.3">
      <c r="A462" s="111" t="s">
        <v>1118</v>
      </c>
      <c r="B462" s="111" t="s">
        <v>394</v>
      </c>
      <c r="C462" s="112">
        <v>69</v>
      </c>
      <c r="D462" s="111" t="s">
        <v>2084</v>
      </c>
      <c r="E462" s="111"/>
    </row>
    <row r="463" spans="1:5" ht="18" customHeight="1" x14ac:dyDescent="0.35">
      <c r="A463" s="103" t="s">
        <v>1681</v>
      </c>
      <c r="B463" s="103" t="s">
        <v>145</v>
      </c>
      <c r="C463" s="92">
        <v>22</v>
      </c>
      <c r="D463" s="103" t="s">
        <v>2084</v>
      </c>
      <c r="E463" s="67"/>
    </row>
    <row r="464" spans="1:5" ht="18" customHeight="1" x14ac:dyDescent="0.3">
      <c r="A464" s="111" t="s">
        <v>604</v>
      </c>
      <c r="B464" s="111" t="s">
        <v>145</v>
      </c>
      <c r="C464" s="112">
        <v>24</v>
      </c>
      <c r="D464" s="111" t="s">
        <v>2084</v>
      </c>
      <c r="E464" s="111"/>
    </row>
    <row r="465" spans="1:5" ht="18" customHeight="1" x14ac:dyDescent="0.35">
      <c r="A465" s="103" t="s">
        <v>607</v>
      </c>
      <c r="B465" s="103" t="s">
        <v>145</v>
      </c>
      <c r="C465" s="92">
        <v>24</v>
      </c>
      <c r="D465" s="103" t="s">
        <v>2084</v>
      </c>
      <c r="E465" s="67"/>
    </row>
    <row r="466" spans="1:5" ht="18" customHeight="1" x14ac:dyDescent="0.3">
      <c r="A466" s="111" t="s">
        <v>628</v>
      </c>
      <c r="B466" s="111" t="s">
        <v>145</v>
      </c>
      <c r="C466" s="112">
        <v>26</v>
      </c>
      <c r="D466" s="111" t="s">
        <v>2084</v>
      </c>
      <c r="E466" s="111"/>
    </row>
    <row r="467" spans="1:5" ht="18" customHeight="1" x14ac:dyDescent="0.35">
      <c r="A467" s="103" t="s">
        <v>630</v>
      </c>
      <c r="B467" s="103" t="s">
        <v>145</v>
      </c>
      <c r="C467" s="92">
        <v>26</v>
      </c>
      <c r="D467" s="103" t="s">
        <v>2084</v>
      </c>
      <c r="E467" s="67"/>
    </row>
    <row r="468" spans="1:5" ht="18" customHeight="1" x14ac:dyDescent="0.3">
      <c r="A468" s="111" t="s">
        <v>1712</v>
      </c>
      <c r="B468" s="111" t="s">
        <v>145</v>
      </c>
      <c r="C468" s="112" t="s">
        <v>1713</v>
      </c>
      <c r="D468" s="111" t="s">
        <v>2084</v>
      </c>
      <c r="E468" s="111"/>
    </row>
    <row r="469" spans="1:5" ht="18" customHeight="1" x14ac:dyDescent="0.35">
      <c r="A469" s="103" t="s">
        <v>1717</v>
      </c>
      <c r="B469" s="103" t="s">
        <v>145</v>
      </c>
      <c r="C469" s="92" t="s">
        <v>1713</v>
      </c>
      <c r="D469" s="103" t="s">
        <v>2084</v>
      </c>
      <c r="E469" s="67"/>
    </row>
    <row r="470" spans="1:5" ht="18" customHeight="1" x14ac:dyDescent="0.3">
      <c r="A470" s="111" t="s">
        <v>632</v>
      </c>
      <c r="B470" s="111" t="s">
        <v>145</v>
      </c>
      <c r="C470" s="112">
        <v>26</v>
      </c>
      <c r="D470" s="111" t="s">
        <v>2084</v>
      </c>
      <c r="E470" s="111"/>
    </row>
    <row r="471" spans="1:5" ht="18" customHeight="1" x14ac:dyDescent="0.35">
      <c r="A471" s="103" t="s">
        <v>634</v>
      </c>
      <c r="B471" s="103" t="s">
        <v>145</v>
      </c>
      <c r="C471" s="92">
        <v>26</v>
      </c>
      <c r="D471" s="103" t="s">
        <v>2084</v>
      </c>
      <c r="E471" s="67"/>
    </row>
    <row r="472" spans="1:5" ht="18" customHeight="1" x14ac:dyDescent="0.3">
      <c r="A472" s="111" t="s">
        <v>637</v>
      </c>
      <c r="B472" s="111" t="s">
        <v>145</v>
      </c>
      <c r="C472" s="112">
        <v>26</v>
      </c>
      <c r="D472" s="111" t="s">
        <v>2084</v>
      </c>
      <c r="E472" s="111"/>
    </row>
    <row r="473" spans="1:5" ht="18" customHeight="1" x14ac:dyDescent="0.35">
      <c r="A473" s="103" t="s">
        <v>651</v>
      </c>
      <c r="B473" s="103" t="s">
        <v>145</v>
      </c>
      <c r="C473" s="92">
        <v>28</v>
      </c>
      <c r="D473" s="103" t="s">
        <v>2084</v>
      </c>
      <c r="E473" s="67"/>
    </row>
    <row r="474" spans="1:5" ht="18" customHeight="1" x14ac:dyDescent="0.3">
      <c r="A474" s="111" t="s">
        <v>665</v>
      </c>
      <c r="B474" s="111" t="s">
        <v>145</v>
      </c>
      <c r="C474" s="112">
        <v>30</v>
      </c>
      <c r="D474" s="111" t="s">
        <v>2084</v>
      </c>
      <c r="E474" s="111"/>
    </row>
    <row r="475" spans="1:5" ht="18" customHeight="1" x14ac:dyDescent="0.35">
      <c r="A475" s="103" t="s">
        <v>668</v>
      </c>
      <c r="B475" s="103" t="s">
        <v>145</v>
      </c>
      <c r="C475" s="92">
        <v>30</v>
      </c>
      <c r="D475" s="103" t="s">
        <v>2084</v>
      </c>
      <c r="E475" s="67"/>
    </row>
    <row r="476" spans="1:5" ht="18" customHeight="1" x14ac:dyDescent="0.3">
      <c r="A476" s="111" t="s">
        <v>744</v>
      </c>
      <c r="B476" s="111" t="s">
        <v>145</v>
      </c>
      <c r="C476" s="112">
        <v>38</v>
      </c>
      <c r="D476" s="111" t="s">
        <v>2084</v>
      </c>
      <c r="E476" s="111"/>
    </row>
    <row r="477" spans="1:5" ht="18" customHeight="1" x14ac:dyDescent="0.35">
      <c r="A477" s="103" t="s">
        <v>766</v>
      </c>
      <c r="B477" s="103" t="s">
        <v>145</v>
      </c>
      <c r="C477" s="92">
        <v>40</v>
      </c>
      <c r="D477" s="103" t="s">
        <v>2084</v>
      </c>
      <c r="E477" s="67"/>
    </row>
    <row r="478" spans="1:5" ht="18" customHeight="1" x14ac:dyDescent="0.3">
      <c r="A478" s="111" t="s">
        <v>788</v>
      </c>
      <c r="B478" s="111" t="s">
        <v>145</v>
      </c>
      <c r="C478" s="112">
        <v>42</v>
      </c>
      <c r="D478" s="111" t="s">
        <v>2084</v>
      </c>
      <c r="E478" s="111"/>
    </row>
    <row r="479" spans="1:5" ht="18" customHeight="1" x14ac:dyDescent="0.35">
      <c r="A479" s="103" t="s">
        <v>790</v>
      </c>
      <c r="B479" s="103" t="s">
        <v>145</v>
      </c>
      <c r="C479" s="92">
        <v>42</v>
      </c>
      <c r="D479" s="103" t="s">
        <v>2084</v>
      </c>
      <c r="E479" s="67"/>
    </row>
    <row r="480" spans="1:5" ht="18" customHeight="1" x14ac:dyDescent="0.3">
      <c r="A480" s="111" t="s">
        <v>1800</v>
      </c>
      <c r="B480" s="111" t="s">
        <v>145</v>
      </c>
      <c r="C480" s="112"/>
      <c r="D480" s="111" t="s">
        <v>2084</v>
      </c>
      <c r="E480" s="111"/>
    </row>
    <row r="481" spans="1:5" ht="18" customHeight="1" x14ac:dyDescent="0.35">
      <c r="A481" s="103" t="s">
        <v>1735</v>
      </c>
      <c r="B481" s="103" t="s">
        <v>145</v>
      </c>
      <c r="C481" s="92" t="s">
        <v>1736</v>
      </c>
      <c r="D481" s="103" t="s">
        <v>2084</v>
      </c>
      <c r="E481" s="67"/>
    </row>
    <row r="482" spans="1:5" ht="18" customHeight="1" x14ac:dyDescent="0.3">
      <c r="A482" s="111" t="s">
        <v>144</v>
      </c>
      <c r="B482" s="111" t="s">
        <v>145</v>
      </c>
      <c r="C482" s="112">
        <v>42</v>
      </c>
      <c r="D482" s="111" t="s">
        <v>2084</v>
      </c>
      <c r="E482" s="111"/>
    </row>
    <row r="483" spans="1:5" ht="18" customHeight="1" x14ac:dyDescent="0.35">
      <c r="A483" s="103" t="s">
        <v>805</v>
      </c>
      <c r="B483" s="103" t="s">
        <v>145</v>
      </c>
      <c r="C483" s="92">
        <v>44</v>
      </c>
      <c r="D483" s="103" t="s">
        <v>2084</v>
      </c>
      <c r="E483" s="67"/>
    </row>
    <row r="484" spans="1:5" ht="18" customHeight="1" x14ac:dyDescent="0.3">
      <c r="A484" s="111" t="s">
        <v>831</v>
      </c>
      <c r="B484" s="111" t="s">
        <v>145</v>
      </c>
      <c r="C484" s="112">
        <v>46</v>
      </c>
      <c r="D484" s="111" t="s">
        <v>2084</v>
      </c>
      <c r="E484" s="111"/>
    </row>
    <row r="485" spans="1:5" ht="18" customHeight="1" x14ac:dyDescent="0.35">
      <c r="A485" s="103" t="s">
        <v>868</v>
      </c>
      <c r="B485" s="103" t="s">
        <v>145</v>
      </c>
      <c r="C485" s="92">
        <v>48</v>
      </c>
      <c r="D485" s="103" t="s">
        <v>2084</v>
      </c>
      <c r="E485" s="67"/>
    </row>
    <row r="486" spans="1:5" ht="18" customHeight="1" x14ac:dyDescent="0.3">
      <c r="A486" s="111" t="s">
        <v>881</v>
      </c>
      <c r="B486" s="111" t="s">
        <v>145</v>
      </c>
      <c r="C486" s="112">
        <v>49</v>
      </c>
      <c r="D486" s="111" t="s">
        <v>2084</v>
      </c>
      <c r="E486" s="111"/>
    </row>
    <row r="487" spans="1:5" ht="18" customHeight="1" x14ac:dyDescent="0.35">
      <c r="A487" s="103" t="s">
        <v>958</v>
      </c>
      <c r="B487" s="103" t="s">
        <v>145</v>
      </c>
      <c r="C487" s="92">
        <v>54</v>
      </c>
      <c r="D487" s="103" t="s">
        <v>2084</v>
      </c>
      <c r="E487" s="67"/>
    </row>
    <row r="488" spans="1:5" ht="18" customHeight="1" x14ac:dyDescent="0.3">
      <c r="A488" s="111" t="s">
        <v>893</v>
      </c>
      <c r="B488" s="111" t="s">
        <v>145</v>
      </c>
      <c r="C488" s="112">
        <v>50</v>
      </c>
      <c r="D488" s="111" t="s">
        <v>2084</v>
      </c>
      <c r="E488" s="111"/>
    </row>
    <row r="489" spans="1:5" ht="18" customHeight="1" x14ac:dyDescent="0.35">
      <c r="A489" s="103" t="s">
        <v>897</v>
      </c>
      <c r="B489" s="103" t="s">
        <v>145</v>
      </c>
      <c r="C489" s="92">
        <v>50</v>
      </c>
      <c r="D489" s="103" t="s">
        <v>2084</v>
      </c>
      <c r="E489" s="67"/>
    </row>
    <row r="490" spans="1:5" ht="18" customHeight="1" x14ac:dyDescent="0.3">
      <c r="A490" s="111" t="s">
        <v>981</v>
      </c>
      <c r="B490" s="111" t="s">
        <v>145</v>
      </c>
      <c r="C490" s="112">
        <v>56</v>
      </c>
      <c r="D490" s="111" t="s">
        <v>2084</v>
      </c>
      <c r="E490" s="111"/>
    </row>
    <row r="491" spans="1:5" ht="18" customHeight="1" x14ac:dyDescent="0.35">
      <c r="A491" s="103" t="s">
        <v>1186</v>
      </c>
      <c r="B491" s="103" t="s">
        <v>145</v>
      </c>
      <c r="C491" s="92">
        <v>75</v>
      </c>
      <c r="D491" s="103" t="s">
        <v>2084</v>
      </c>
      <c r="E491" s="67"/>
    </row>
    <row r="492" spans="1:5" ht="18" customHeight="1" x14ac:dyDescent="0.3">
      <c r="A492" s="111" t="s">
        <v>1190</v>
      </c>
      <c r="B492" s="111" t="s">
        <v>145</v>
      </c>
      <c r="C492" s="112">
        <v>75</v>
      </c>
      <c r="D492" s="111" t="s">
        <v>2084</v>
      </c>
      <c r="E492" s="111"/>
    </row>
    <row r="493" spans="1:5" ht="18" customHeight="1" x14ac:dyDescent="0.35">
      <c r="A493" s="103" t="s">
        <v>1596</v>
      </c>
      <c r="B493" s="103" t="s">
        <v>145</v>
      </c>
      <c r="C493" s="92" t="s">
        <v>1590</v>
      </c>
      <c r="D493" s="103" t="s">
        <v>2084</v>
      </c>
      <c r="E493" s="67"/>
    </row>
    <row r="494" spans="1:5" ht="18" customHeight="1" x14ac:dyDescent="0.3">
      <c r="A494" s="111" t="s">
        <v>2093</v>
      </c>
      <c r="B494" s="111" t="s">
        <v>1505</v>
      </c>
      <c r="C494" s="112">
        <v>143</v>
      </c>
      <c r="D494" s="111" t="s">
        <v>2084</v>
      </c>
      <c r="E494" s="111"/>
    </row>
    <row r="495" spans="1:5" ht="18" customHeight="1" x14ac:dyDescent="0.35">
      <c r="A495" s="103" t="s">
        <v>1574</v>
      </c>
      <c r="B495" s="103" t="s">
        <v>1505</v>
      </c>
      <c r="C495" s="92">
        <v>252</v>
      </c>
      <c r="D495" s="103" t="s">
        <v>2084</v>
      </c>
      <c r="E495" s="67"/>
    </row>
    <row r="496" spans="1:5" ht="18" customHeight="1" x14ac:dyDescent="0.3">
      <c r="A496" s="111" t="s">
        <v>1619</v>
      </c>
      <c r="B496" s="111" t="s">
        <v>47</v>
      </c>
      <c r="C496" s="112" t="s">
        <v>1620</v>
      </c>
      <c r="D496" s="111" t="s">
        <v>2084</v>
      </c>
      <c r="E496" s="111"/>
    </row>
    <row r="497" spans="1:5" ht="18" customHeight="1" x14ac:dyDescent="0.35">
      <c r="A497" s="103" t="s">
        <v>1622</v>
      </c>
      <c r="B497" s="103" t="s">
        <v>47</v>
      </c>
      <c r="C497" s="92" t="s">
        <v>1623</v>
      </c>
      <c r="D497" s="103" t="s">
        <v>2084</v>
      </c>
      <c r="E497" s="67"/>
    </row>
    <row r="498" spans="1:5" ht="18" customHeight="1" x14ac:dyDescent="0.3">
      <c r="A498" s="111" t="s">
        <v>1626</v>
      </c>
      <c r="B498" s="111" t="s">
        <v>47</v>
      </c>
      <c r="C498" s="112" t="s">
        <v>1627</v>
      </c>
      <c r="D498" s="111" t="s">
        <v>2084</v>
      </c>
      <c r="E498" s="111"/>
    </row>
    <row r="499" spans="1:5" ht="18" customHeight="1" x14ac:dyDescent="0.35">
      <c r="A499" s="103" t="s">
        <v>1628</v>
      </c>
      <c r="B499" s="103" t="s">
        <v>47</v>
      </c>
      <c r="C499" s="92" t="s">
        <v>1629</v>
      </c>
      <c r="D499" s="103" t="s">
        <v>2084</v>
      </c>
      <c r="E499" s="67"/>
    </row>
    <row r="500" spans="1:5" ht="18" customHeight="1" x14ac:dyDescent="0.3">
      <c r="A500" s="111" t="s">
        <v>1631</v>
      </c>
      <c r="B500" s="111" t="s">
        <v>47</v>
      </c>
      <c r="C500" s="112" t="s">
        <v>1632</v>
      </c>
      <c r="D500" s="111" t="s">
        <v>2084</v>
      </c>
      <c r="E500" s="111"/>
    </row>
    <row r="501" spans="1:5" ht="18" customHeight="1" x14ac:dyDescent="0.35">
      <c r="A501" s="103" t="s">
        <v>1634</v>
      </c>
      <c r="B501" s="103" t="s">
        <v>47</v>
      </c>
      <c r="C501" s="92" t="s">
        <v>1635</v>
      </c>
      <c r="D501" s="103" t="s">
        <v>2084</v>
      </c>
      <c r="E501" s="67"/>
    </row>
    <row r="502" spans="1:5" ht="18" customHeight="1" x14ac:dyDescent="0.3">
      <c r="A502" s="111" t="s">
        <v>1636</v>
      </c>
      <c r="B502" s="111" t="s">
        <v>47</v>
      </c>
      <c r="C502" s="112" t="s">
        <v>1637</v>
      </c>
      <c r="D502" s="111" t="s">
        <v>2084</v>
      </c>
      <c r="E502" s="111"/>
    </row>
    <row r="503" spans="1:5" ht="18" customHeight="1" x14ac:dyDescent="0.35">
      <c r="A503" s="103" t="s">
        <v>1638</v>
      </c>
      <c r="B503" s="103" t="s">
        <v>47</v>
      </c>
      <c r="C503" s="92" t="s">
        <v>1639</v>
      </c>
      <c r="D503" s="103" t="s">
        <v>2084</v>
      </c>
      <c r="E503" s="67"/>
    </row>
    <row r="504" spans="1:5" ht="18" customHeight="1" x14ac:dyDescent="0.3">
      <c r="A504" s="111" t="s">
        <v>1640</v>
      </c>
      <c r="B504" s="111" t="s">
        <v>47</v>
      </c>
      <c r="C504" s="112" t="s">
        <v>1641</v>
      </c>
      <c r="D504" s="111" t="s">
        <v>2084</v>
      </c>
      <c r="E504" s="111"/>
    </row>
    <row r="505" spans="1:5" ht="18" customHeight="1" x14ac:dyDescent="0.35">
      <c r="A505" s="103" t="s">
        <v>1640</v>
      </c>
      <c r="B505" s="103" t="s">
        <v>47</v>
      </c>
      <c r="C505" s="92" t="s">
        <v>1642</v>
      </c>
      <c r="D505" s="103" t="s">
        <v>2084</v>
      </c>
      <c r="E505" s="67"/>
    </row>
    <row r="506" spans="1:5" ht="18" customHeight="1" x14ac:dyDescent="0.3">
      <c r="A506" s="111" t="s">
        <v>1643</v>
      </c>
      <c r="B506" s="111" t="s">
        <v>47</v>
      </c>
      <c r="C506" s="112" t="s">
        <v>1644</v>
      </c>
      <c r="D506" s="111" t="s">
        <v>2084</v>
      </c>
      <c r="E506" s="111"/>
    </row>
    <row r="507" spans="1:5" ht="18" customHeight="1" x14ac:dyDescent="0.35">
      <c r="A507" s="103" t="s">
        <v>1645</v>
      </c>
      <c r="B507" s="103" t="s">
        <v>47</v>
      </c>
      <c r="C507" s="92" t="s">
        <v>1646</v>
      </c>
      <c r="D507" s="103" t="s">
        <v>2084</v>
      </c>
      <c r="E507" s="67"/>
    </row>
    <row r="508" spans="1:5" ht="18" customHeight="1" x14ac:dyDescent="0.3">
      <c r="A508" s="111" t="s">
        <v>1647</v>
      </c>
      <c r="B508" s="111" t="s">
        <v>47</v>
      </c>
      <c r="C508" s="112" t="s">
        <v>1648</v>
      </c>
      <c r="D508" s="111" t="s">
        <v>2084</v>
      </c>
      <c r="E508" s="111"/>
    </row>
    <row r="509" spans="1:5" ht="18" customHeight="1" x14ac:dyDescent="0.35">
      <c r="A509" s="103" t="s">
        <v>1653</v>
      </c>
      <c r="B509" s="103" t="s">
        <v>47</v>
      </c>
      <c r="C509" s="92" t="s">
        <v>57</v>
      </c>
      <c r="D509" s="103" t="s">
        <v>2084</v>
      </c>
      <c r="E509" s="67"/>
    </row>
    <row r="510" spans="1:5" ht="18" customHeight="1" x14ac:dyDescent="0.3">
      <c r="A510" s="111" t="s">
        <v>1514</v>
      </c>
      <c r="B510" s="111" t="s">
        <v>47</v>
      </c>
      <c r="C510" s="112">
        <v>149</v>
      </c>
      <c r="D510" s="111" t="s">
        <v>2084</v>
      </c>
      <c r="E510" s="111"/>
    </row>
    <row r="511" spans="1:5" ht="18" customHeight="1" x14ac:dyDescent="0.35">
      <c r="A511" s="103" t="s">
        <v>51</v>
      </c>
      <c r="B511" s="103" t="s">
        <v>47</v>
      </c>
      <c r="C511" s="92">
        <v>152</v>
      </c>
      <c r="D511" s="103" t="s">
        <v>2084</v>
      </c>
      <c r="E511" s="67"/>
    </row>
    <row r="512" spans="1:5" ht="18" customHeight="1" x14ac:dyDescent="0.3">
      <c r="A512" s="111" t="s">
        <v>1528</v>
      </c>
      <c r="B512" s="111" t="s">
        <v>47</v>
      </c>
      <c r="C512" s="112">
        <v>154</v>
      </c>
      <c r="D512" s="111" t="s">
        <v>2084</v>
      </c>
      <c r="E512" s="111"/>
    </row>
    <row r="513" spans="1:5" ht="18" customHeight="1" x14ac:dyDescent="0.35">
      <c r="A513" s="103" t="s">
        <v>1529</v>
      </c>
      <c r="B513" s="103" t="s">
        <v>47</v>
      </c>
      <c r="C513" s="92">
        <v>155</v>
      </c>
      <c r="D513" s="103" t="s">
        <v>2084</v>
      </c>
      <c r="E513" s="67"/>
    </row>
    <row r="514" spans="1:5" ht="18" customHeight="1" x14ac:dyDescent="0.3">
      <c r="A514" s="111" t="s">
        <v>1530</v>
      </c>
      <c r="B514" s="111" t="s">
        <v>47</v>
      </c>
      <c r="C514" s="112">
        <v>156</v>
      </c>
      <c r="D514" s="111" t="s">
        <v>2084</v>
      </c>
      <c r="E514" s="111"/>
    </row>
    <row r="515" spans="1:5" ht="18" customHeight="1" x14ac:dyDescent="0.35">
      <c r="A515" s="103" t="s">
        <v>1531</v>
      </c>
      <c r="B515" s="103" t="s">
        <v>47</v>
      </c>
      <c r="C515" s="92">
        <v>179</v>
      </c>
      <c r="D515" s="103" t="s">
        <v>2084</v>
      </c>
      <c r="E515" s="67"/>
    </row>
    <row r="516" spans="1:5" ht="18" customHeight="1" x14ac:dyDescent="0.3">
      <c r="A516" s="111" t="s">
        <v>1533</v>
      </c>
      <c r="B516" s="111" t="s">
        <v>47</v>
      </c>
      <c r="C516" s="112">
        <v>240</v>
      </c>
      <c r="D516" s="111" t="s">
        <v>2084</v>
      </c>
      <c r="E516" s="111"/>
    </row>
    <row r="517" spans="1:5" ht="18" customHeight="1" x14ac:dyDescent="0.35">
      <c r="A517" s="103" t="s">
        <v>1534</v>
      </c>
      <c r="B517" s="103" t="s">
        <v>47</v>
      </c>
      <c r="C517" s="92">
        <v>241</v>
      </c>
      <c r="D517" s="103" t="s">
        <v>2084</v>
      </c>
      <c r="E517" s="67"/>
    </row>
    <row r="518" spans="1:5" ht="18" customHeight="1" x14ac:dyDescent="0.3">
      <c r="A518" s="111" t="s">
        <v>1536</v>
      </c>
      <c r="B518" s="111" t="s">
        <v>47</v>
      </c>
      <c r="C518" s="112">
        <v>242</v>
      </c>
      <c r="D518" s="111" t="s">
        <v>2084</v>
      </c>
      <c r="E518" s="111"/>
    </row>
    <row r="519" spans="1:5" ht="18" customHeight="1" x14ac:dyDescent="0.35">
      <c r="A519" s="103" t="s">
        <v>1544</v>
      </c>
      <c r="B519" s="103" t="s">
        <v>47</v>
      </c>
      <c r="C519" s="92">
        <v>243</v>
      </c>
      <c r="D519" s="103" t="s">
        <v>2084</v>
      </c>
      <c r="E519" s="67"/>
    </row>
    <row r="520" spans="1:5" ht="18" customHeight="1" x14ac:dyDescent="0.3">
      <c r="A520" s="111" t="s">
        <v>1553</v>
      </c>
      <c r="B520" s="111" t="s">
        <v>47</v>
      </c>
      <c r="C520" s="112">
        <v>246</v>
      </c>
      <c r="D520" s="111" t="s">
        <v>2084</v>
      </c>
      <c r="E520" s="111"/>
    </row>
    <row r="521" spans="1:5" ht="18" customHeight="1" x14ac:dyDescent="0.35">
      <c r="A521" s="103" t="s">
        <v>1557</v>
      </c>
      <c r="B521" s="103" t="s">
        <v>47</v>
      </c>
      <c r="C521" s="92">
        <v>247</v>
      </c>
      <c r="D521" s="103" t="s">
        <v>2084</v>
      </c>
      <c r="E521" s="67"/>
    </row>
    <row r="522" spans="1:5" ht="18" customHeight="1" x14ac:dyDescent="0.3">
      <c r="A522" s="111" t="s">
        <v>1698</v>
      </c>
      <c r="B522" s="111" t="s">
        <v>47</v>
      </c>
      <c r="C522" s="112" t="s">
        <v>1699</v>
      </c>
      <c r="D522" s="111" t="s">
        <v>2084</v>
      </c>
      <c r="E522" s="111"/>
    </row>
    <row r="523" spans="1:5" ht="18" customHeight="1" x14ac:dyDescent="0.35">
      <c r="A523" s="103" t="s">
        <v>1692</v>
      </c>
      <c r="B523" s="103" t="s">
        <v>47</v>
      </c>
      <c r="C523" s="92" t="s">
        <v>48</v>
      </c>
      <c r="D523" s="103" t="s">
        <v>2084</v>
      </c>
      <c r="E523" s="67"/>
    </row>
    <row r="524" spans="1:5" ht="18" customHeight="1" x14ac:dyDescent="0.3">
      <c r="A524" s="111" t="s">
        <v>1694</v>
      </c>
      <c r="B524" s="111" t="s">
        <v>47</v>
      </c>
      <c r="C524" s="112" t="s">
        <v>1695</v>
      </c>
      <c r="D524" s="111" t="s">
        <v>2084</v>
      </c>
      <c r="E524" s="111"/>
    </row>
    <row r="525" spans="1:5" ht="18" customHeight="1" x14ac:dyDescent="0.35">
      <c r="A525" s="103" t="s">
        <v>1696</v>
      </c>
      <c r="B525" s="103" t="s">
        <v>47</v>
      </c>
      <c r="C525" s="92" t="s">
        <v>1695</v>
      </c>
      <c r="D525" s="103" t="s">
        <v>2084</v>
      </c>
      <c r="E525" s="67"/>
    </row>
    <row r="526" spans="1:5" ht="18" customHeight="1" x14ac:dyDescent="0.3">
      <c r="A526" s="111" t="s">
        <v>1563</v>
      </c>
      <c r="B526" s="111" t="s">
        <v>47</v>
      </c>
      <c r="C526" s="112">
        <v>249</v>
      </c>
      <c r="D526" s="111" t="s">
        <v>2084</v>
      </c>
      <c r="E526" s="111"/>
    </row>
    <row r="527" spans="1:5" ht="18" customHeight="1" x14ac:dyDescent="0.35">
      <c r="A527" s="103" t="s">
        <v>1564</v>
      </c>
      <c r="B527" s="103" t="s">
        <v>47</v>
      </c>
      <c r="C527" s="92">
        <v>249</v>
      </c>
      <c r="D527" s="103" t="s">
        <v>2084</v>
      </c>
      <c r="E527" s="67"/>
    </row>
    <row r="528" spans="1:5" ht="18" customHeight="1" x14ac:dyDescent="0.3">
      <c r="A528" s="111" t="s">
        <v>1566</v>
      </c>
      <c r="B528" s="111" t="s">
        <v>47</v>
      </c>
      <c r="C528" s="112">
        <v>249</v>
      </c>
      <c r="D528" s="111" t="s">
        <v>2084</v>
      </c>
      <c r="E528" s="111"/>
    </row>
    <row r="529" spans="1:5" ht="18" customHeight="1" x14ac:dyDescent="0.35">
      <c r="A529" s="103" t="s">
        <v>1568</v>
      </c>
      <c r="B529" s="103" t="s">
        <v>47</v>
      </c>
      <c r="C529" s="92">
        <v>249</v>
      </c>
      <c r="D529" s="103" t="s">
        <v>2084</v>
      </c>
      <c r="E529" s="67"/>
    </row>
    <row r="530" spans="1:5" ht="18" customHeight="1" x14ac:dyDescent="0.3">
      <c r="A530" s="111" t="s">
        <v>1708</v>
      </c>
      <c r="B530" s="111" t="s">
        <v>47</v>
      </c>
      <c r="C530" s="112" t="s">
        <v>1709</v>
      </c>
      <c r="D530" s="111" t="s">
        <v>2084</v>
      </c>
      <c r="E530" s="111"/>
    </row>
    <row r="531" spans="1:5" ht="18" customHeight="1" x14ac:dyDescent="0.35">
      <c r="A531" s="103" t="s">
        <v>1710</v>
      </c>
      <c r="B531" s="103" t="s">
        <v>47</v>
      </c>
      <c r="C531" s="92" t="s">
        <v>1709</v>
      </c>
      <c r="D531" s="103" t="s">
        <v>2084</v>
      </c>
      <c r="E531" s="67"/>
    </row>
    <row r="532" spans="1:5" ht="18" customHeight="1" x14ac:dyDescent="0.3">
      <c r="A532" s="111" t="s">
        <v>1570</v>
      </c>
      <c r="B532" s="111" t="s">
        <v>47</v>
      </c>
      <c r="C532" s="112">
        <v>250</v>
      </c>
      <c r="D532" s="111" t="s">
        <v>2084</v>
      </c>
      <c r="E532" s="111"/>
    </row>
    <row r="533" spans="1:5" ht="18" customHeight="1" x14ac:dyDescent="0.35">
      <c r="A533" s="103" t="s">
        <v>1572</v>
      </c>
      <c r="B533" s="103" t="s">
        <v>47</v>
      </c>
      <c r="C533" s="92">
        <v>251</v>
      </c>
      <c r="D533" s="103" t="s">
        <v>2084</v>
      </c>
      <c r="E533" s="67"/>
    </row>
    <row r="534" spans="1:5" ht="18" customHeight="1" x14ac:dyDescent="0.3">
      <c r="A534" s="111" t="s">
        <v>1576</v>
      </c>
      <c r="B534" s="111" t="s">
        <v>47</v>
      </c>
      <c r="C534" s="112">
        <v>252</v>
      </c>
      <c r="D534" s="111" t="s">
        <v>2084</v>
      </c>
      <c r="E534" s="111"/>
    </row>
    <row r="535" spans="1:5" ht="18" customHeight="1" x14ac:dyDescent="0.35">
      <c r="A535" s="103" t="s">
        <v>1579</v>
      </c>
      <c r="B535" s="103" t="s">
        <v>47</v>
      </c>
      <c r="C535" s="92">
        <v>253</v>
      </c>
      <c r="D535" s="103" t="s">
        <v>2084</v>
      </c>
      <c r="E535" s="67"/>
    </row>
    <row r="536" spans="1:5" ht="18" customHeight="1" x14ac:dyDescent="0.3">
      <c r="A536" s="111" t="s">
        <v>1581</v>
      </c>
      <c r="B536" s="111" t="s">
        <v>47</v>
      </c>
      <c r="C536" s="112">
        <v>254</v>
      </c>
      <c r="D536" s="111" t="s">
        <v>2084</v>
      </c>
      <c r="E536" s="111"/>
    </row>
    <row r="537" spans="1:5" ht="18" customHeight="1" x14ac:dyDescent="0.35">
      <c r="A537" s="103" t="s">
        <v>1583</v>
      </c>
      <c r="B537" s="103" t="s">
        <v>47</v>
      </c>
      <c r="C537" s="92">
        <v>255</v>
      </c>
      <c r="D537" s="103" t="s">
        <v>2084</v>
      </c>
      <c r="E537" s="67"/>
    </row>
    <row r="538" spans="1:5" ht="18" customHeight="1" x14ac:dyDescent="0.3">
      <c r="A538" s="111" t="s">
        <v>1585</v>
      </c>
      <c r="B538" s="111" t="s">
        <v>47</v>
      </c>
      <c r="C538" s="112">
        <v>256</v>
      </c>
      <c r="D538" s="111" t="s">
        <v>2084</v>
      </c>
      <c r="E538" s="111"/>
    </row>
    <row r="539" spans="1:5" ht="18" customHeight="1" x14ac:dyDescent="0.35">
      <c r="A539" s="103" t="s">
        <v>1586</v>
      </c>
      <c r="B539" s="103" t="s">
        <v>47</v>
      </c>
      <c r="C539" s="92">
        <v>257</v>
      </c>
      <c r="D539" s="103" t="s">
        <v>2084</v>
      </c>
      <c r="E539" s="67"/>
    </row>
    <row r="540" spans="1:5" ht="18" customHeight="1" x14ac:dyDescent="0.3">
      <c r="A540" s="111" t="s">
        <v>624</v>
      </c>
      <c r="B540" s="111" t="s">
        <v>625</v>
      </c>
      <c r="C540" s="112">
        <v>25</v>
      </c>
      <c r="D540" s="111" t="s">
        <v>2084</v>
      </c>
      <c r="E540" s="111"/>
    </row>
    <row r="541" spans="1:5" ht="18" customHeight="1" x14ac:dyDescent="0.35">
      <c r="A541" s="103" t="s">
        <v>1374</v>
      </c>
      <c r="B541" s="103" t="s">
        <v>1375</v>
      </c>
      <c r="C541" s="92">
        <v>98</v>
      </c>
      <c r="D541" s="103" t="s">
        <v>2084</v>
      </c>
      <c r="E541" s="67"/>
    </row>
    <row r="542" spans="1:5" ht="18" customHeight="1" x14ac:dyDescent="0.3">
      <c r="A542" s="111" t="s">
        <v>731</v>
      </c>
      <c r="B542" s="111" t="s">
        <v>732</v>
      </c>
      <c r="C542" s="112">
        <v>37</v>
      </c>
      <c r="D542" s="111" t="s">
        <v>2084</v>
      </c>
      <c r="E542" s="111"/>
    </row>
    <row r="543" spans="1:5" ht="18" customHeight="1" x14ac:dyDescent="0.3">
      <c r="A543" s="113" t="s">
        <v>2094</v>
      </c>
      <c r="B543" s="114"/>
      <c r="C543" s="115"/>
      <c r="D543" s="114"/>
      <c r="E543" s="114"/>
    </row>
    <row r="544" spans="1:5" ht="18" customHeight="1" x14ac:dyDescent="0.35">
      <c r="A544" s="67"/>
      <c r="B544" s="67"/>
      <c r="C544" s="67"/>
      <c r="D544" s="67"/>
      <c r="E544" s="67"/>
    </row>
    <row r="545" spans="1:5" ht="18" customHeight="1" x14ac:dyDescent="0.35">
      <c r="A545" s="116" t="s">
        <v>2095</v>
      </c>
      <c r="B545" s="67"/>
      <c r="C545" s="67"/>
      <c r="D545" s="67"/>
      <c r="E545" s="67"/>
    </row>
    <row r="546" spans="1:5" ht="18" customHeight="1" x14ac:dyDescent="0.35">
      <c r="A546" s="117" t="s">
        <v>9</v>
      </c>
      <c r="B546" s="117" t="s">
        <v>2096</v>
      </c>
      <c r="C546" s="118" t="s">
        <v>2097</v>
      </c>
      <c r="D546" s="67"/>
      <c r="E546" s="67"/>
    </row>
    <row r="547" spans="1:5" ht="18" customHeight="1" x14ac:dyDescent="0.35">
      <c r="A547" s="103">
        <v>1</v>
      </c>
      <c r="B547" s="103" t="s">
        <v>2098</v>
      </c>
      <c r="C547" s="119" t="s">
        <v>2099</v>
      </c>
      <c r="D547" s="67"/>
      <c r="E547" s="67"/>
    </row>
    <row r="548" spans="1:5" ht="18" customHeight="1" x14ac:dyDescent="0.35">
      <c r="A548" s="120">
        <v>2</v>
      </c>
      <c r="B548" s="120" t="s">
        <v>2100</v>
      </c>
      <c r="C548" s="121" t="s">
        <v>2101</v>
      </c>
      <c r="D548" s="67"/>
      <c r="E548" s="67"/>
    </row>
    <row r="549" spans="1:5" ht="18" customHeight="1" x14ac:dyDescent="0.35">
      <c r="A549" s="103">
        <v>3</v>
      </c>
      <c r="B549" s="103" t="s">
        <v>2102</v>
      </c>
      <c r="C549" s="122" t="s">
        <v>2101</v>
      </c>
      <c r="D549" s="67"/>
      <c r="E549" s="67"/>
    </row>
    <row r="550" spans="1:5" ht="18" customHeight="1" x14ac:dyDescent="0.35">
      <c r="A550" s="120">
        <v>4</v>
      </c>
      <c r="B550" s="120" t="s">
        <v>2103</v>
      </c>
      <c r="C550" s="123" t="s">
        <v>2099</v>
      </c>
      <c r="D550" s="67"/>
      <c r="E550" s="67"/>
    </row>
    <row r="551" spans="1:5" ht="18" customHeight="1" x14ac:dyDescent="0.35">
      <c r="A551" s="103">
        <v>5</v>
      </c>
      <c r="B551" s="103" t="s">
        <v>2104</v>
      </c>
      <c r="C551" s="122" t="s">
        <v>2101</v>
      </c>
      <c r="D551" s="67"/>
      <c r="E551" s="67"/>
    </row>
    <row r="552" spans="1:5" ht="18" customHeight="1" x14ac:dyDescent="0.35">
      <c r="A552" s="120">
        <v>7</v>
      </c>
      <c r="B552" s="120" t="s">
        <v>2105</v>
      </c>
      <c r="C552" s="121" t="s">
        <v>2101</v>
      </c>
      <c r="D552" s="67"/>
      <c r="E552" s="67"/>
    </row>
    <row r="553" spans="1:5" ht="18" customHeight="1" x14ac:dyDescent="0.35">
      <c r="A553" s="103">
        <v>8</v>
      </c>
      <c r="B553" s="103" t="s">
        <v>2106</v>
      </c>
      <c r="C553" s="119" t="s">
        <v>2099</v>
      </c>
      <c r="D553" s="67"/>
      <c r="E553" s="67"/>
    </row>
    <row r="554" spans="1:5" ht="18" customHeight="1" x14ac:dyDescent="0.35">
      <c r="A554" s="120">
        <v>9</v>
      </c>
      <c r="B554" s="120" t="s">
        <v>2107</v>
      </c>
      <c r="C554" s="123" t="s">
        <v>2099</v>
      </c>
      <c r="D554" s="67"/>
      <c r="E554" s="67"/>
    </row>
    <row r="555" spans="1:5" ht="18" customHeight="1" x14ac:dyDescent="0.35">
      <c r="A555" s="103">
        <v>10</v>
      </c>
      <c r="B555" s="103" t="s">
        <v>2108</v>
      </c>
      <c r="C555" s="119" t="s">
        <v>2099</v>
      </c>
      <c r="D555" s="67"/>
      <c r="E555" s="67"/>
    </row>
    <row r="556" spans="1:5" ht="18" customHeight="1" x14ac:dyDescent="0.35">
      <c r="A556" s="120">
        <v>11</v>
      </c>
      <c r="B556" s="120" t="s">
        <v>2109</v>
      </c>
      <c r="C556" s="123" t="s">
        <v>2099</v>
      </c>
      <c r="D556" s="67"/>
      <c r="E556" s="67"/>
    </row>
    <row r="557" spans="1:5" ht="18" customHeight="1" x14ac:dyDescent="0.35">
      <c r="A557" s="103">
        <v>12</v>
      </c>
      <c r="B557" s="103" t="s">
        <v>2110</v>
      </c>
      <c r="C557" s="122" t="s">
        <v>2101</v>
      </c>
      <c r="D557" s="67"/>
      <c r="E557" s="67"/>
    </row>
    <row r="558" spans="1:5" ht="18" customHeight="1" x14ac:dyDescent="0.35">
      <c r="A558" s="120">
        <v>13</v>
      </c>
      <c r="B558" s="120" t="s">
        <v>2111</v>
      </c>
      <c r="C558" s="121" t="s">
        <v>2101</v>
      </c>
      <c r="D558" s="67"/>
      <c r="E558" s="67"/>
    </row>
    <row r="559" spans="1:5" ht="18" customHeight="1" x14ac:dyDescent="0.35">
      <c r="A559" s="103">
        <v>14</v>
      </c>
      <c r="B559" s="103" t="s">
        <v>2112</v>
      </c>
      <c r="C559" s="122" t="s">
        <v>2101</v>
      </c>
      <c r="D559" s="67"/>
      <c r="E559" s="67"/>
    </row>
    <row r="560" spans="1:5" ht="18" customHeight="1" x14ac:dyDescent="0.35">
      <c r="A560" s="120">
        <v>15</v>
      </c>
      <c r="B560" s="120" t="s">
        <v>2113</v>
      </c>
      <c r="C560" s="121" t="s">
        <v>2101</v>
      </c>
      <c r="D560" s="67"/>
      <c r="E560" s="67"/>
    </row>
    <row r="561" spans="1:5" ht="18" customHeight="1" x14ac:dyDescent="0.35">
      <c r="A561" s="103">
        <v>16</v>
      </c>
      <c r="B561" s="103" t="s">
        <v>2114</v>
      </c>
      <c r="C561" s="119" t="s">
        <v>2099</v>
      </c>
      <c r="D561" s="67"/>
      <c r="E561" s="67"/>
    </row>
    <row r="562" spans="1:5" ht="18" customHeight="1" x14ac:dyDescent="0.35">
      <c r="A562" s="120">
        <v>18</v>
      </c>
      <c r="B562" s="120" t="s">
        <v>2115</v>
      </c>
      <c r="C562" s="121" t="s">
        <v>2101</v>
      </c>
      <c r="D562" s="67"/>
      <c r="E562" s="67"/>
    </row>
    <row r="563" spans="1:5" ht="18" customHeight="1" x14ac:dyDescent="0.35">
      <c r="A563" s="103">
        <v>19</v>
      </c>
      <c r="B563" s="103" t="s">
        <v>2116</v>
      </c>
      <c r="C563" s="123" t="s">
        <v>2099</v>
      </c>
      <c r="D563" s="67"/>
      <c r="E563" s="67"/>
    </row>
    <row r="564" spans="1:5" ht="18" customHeight="1" x14ac:dyDescent="0.35">
      <c r="A564" s="120">
        <v>20</v>
      </c>
      <c r="B564" s="120" t="s">
        <v>2117</v>
      </c>
      <c r="C564" s="123" t="s">
        <v>2099</v>
      </c>
      <c r="D564" s="67"/>
      <c r="E564" s="67"/>
    </row>
    <row r="565" spans="1:5" ht="18" customHeight="1" x14ac:dyDescent="0.35">
      <c r="A565" s="103">
        <v>21</v>
      </c>
      <c r="B565" s="103" t="s">
        <v>2118</v>
      </c>
      <c r="C565" s="122" t="s">
        <v>2101</v>
      </c>
      <c r="D565" s="67"/>
      <c r="E565" s="67"/>
    </row>
    <row r="566" spans="1:5" ht="18" customHeight="1" x14ac:dyDescent="0.35">
      <c r="A566" s="120">
        <v>22</v>
      </c>
      <c r="B566" s="120" t="s">
        <v>2119</v>
      </c>
      <c r="C566" s="123" t="s">
        <v>2099</v>
      </c>
      <c r="D566" s="67"/>
      <c r="E566" s="67"/>
    </row>
    <row r="567" spans="1:5" ht="18" customHeight="1" x14ac:dyDescent="0.35">
      <c r="A567" s="103">
        <v>23</v>
      </c>
      <c r="B567" s="103" t="s">
        <v>2120</v>
      </c>
      <c r="C567" s="121" t="s">
        <v>2101</v>
      </c>
      <c r="D567" s="67"/>
      <c r="E567" s="67"/>
    </row>
    <row r="568" spans="1:5" ht="18" customHeight="1" x14ac:dyDescent="0.35">
      <c r="A568" s="120">
        <v>24</v>
      </c>
      <c r="B568" s="120" t="s">
        <v>2121</v>
      </c>
      <c r="C568" s="121" t="s">
        <v>2101</v>
      </c>
      <c r="D568" s="67"/>
      <c r="E568" s="67"/>
    </row>
    <row r="569" spans="1:5" ht="18" customHeight="1" x14ac:dyDescent="0.35">
      <c r="A569" s="103">
        <v>25</v>
      </c>
      <c r="B569" s="103" t="s">
        <v>2122</v>
      </c>
      <c r="C569" s="119" t="s">
        <v>2099</v>
      </c>
      <c r="D569" s="67"/>
      <c r="E569" s="67"/>
    </row>
    <row r="570" spans="1:5" ht="18" customHeight="1" x14ac:dyDescent="0.35">
      <c r="A570" s="120">
        <v>26</v>
      </c>
      <c r="B570" s="120" t="s">
        <v>2123</v>
      </c>
      <c r="C570" s="121" t="s">
        <v>2101</v>
      </c>
      <c r="D570" s="67"/>
      <c r="E570" s="67"/>
    </row>
    <row r="571" spans="1:5" ht="18" customHeight="1" x14ac:dyDescent="0.35">
      <c r="A571" s="103">
        <v>28</v>
      </c>
      <c r="B571" s="103" t="s">
        <v>2124</v>
      </c>
      <c r="C571" s="121" t="s">
        <v>2101</v>
      </c>
      <c r="D571" s="67"/>
      <c r="E571" s="67"/>
    </row>
    <row r="572" spans="1:5" ht="18" customHeight="1" x14ac:dyDescent="0.35">
      <c r="A572" s="120">
        <v>30</v>
      </c>
      <c r="B572" s="120" t="s">
        <v>2125</v>
      </c>
      <c r="C572" s="123" t="s">
        <v>2099</v>
      </c>
      <c r="D572" s="67"/>
      <c r="E572" s="67"/>
    </row>
    <row r="573" spans="1:5" ht="18" customHeight="1" x14ac:dyDescent="0.35">
      <c r="A573" s="103">
        <v>31</v>
      </c>
      <c r="B573" s="103" t="s">
        <v>2126</v>
      </c>
      <c r="C573" s="121" t="s">
        <v>2101</v>
      </c>
      <c r="D573" s="67"/>
      <c r="E573" s="67"/>
    </row>
    <row r="574" spans="1:5" ht="18" customHeight="1" x14ac:dyDescent="0.35">
      <c r="A574" s="120">
        <v>32</v>
      </c>
      <c r="B574" s="120" t="s">
        <v>2127</v>
      </c>
      <c r="C574" s="121" t="s">
        <v>2101</v>
      </c>
      <c r="D574" s="67"/>
      <c r="E574" s="67"/>
    </row>
    <row r="575" spans="1:5" ht="18" customHeight="1" x14ac:dyDescent="0.35">
      <c r="A575" s="103">
        <v>34</v>
      </c>
      <c r="B575" s="103" t="s">
        <v>2128</v>
      </c>
      <c r="C575" s="123" t="s">
        <v>2099</v>
      </c>
      <c r="D575" s="67"/>
      <c r="E575" s="67"/>
    </row>
    <row r="576" spans="1:5" ht="18" customHeight="1" x14ac:dyDescent="0.35">
      <c r="A576" s="120">
        <v>35</v>
      </c>
      <c r="B576" s="120" t="s">
        <v>2129</v>
      </c>
      <c r="C576" s="121" t="s">
        <v>2101</v>
      </c>
      <c r="D576" s="67"/>
      <c r="E576" s="67"/>
    </row>
    <row r="577" spans="1:5" ht="18" customHeight="1" x14ac:dyDescent="0.35">
      <c r="A577" s="103">
        <v>36</v>
      </c>
      <c r="B577" s="103" t="s">
        <v>2130</v>
      </c>
      <c r="C577" s="123" t="s">
        <v>2099</v>
      </c>
      <c r="D577" s="67"/>
      <c r="E577" s="67"/>
    </row>
    <row r="578" spans="1:5" ht="18" customHeight="1" x14ac:dyDescent="0.35">
      <c r="A578" s="120">
        <v>37</v>
      </c>
      <c r="B578" s="120" t="s">
        <v>2131</v>
      </c>
      <c r="C578" s="123" t="s">
        <v>2099</v>
      </c>
      <c r="D578" s="67"/>
      <c r="E578" s="67"/>
    </row>
    <row r="579" spans="1:5" ht="18" customHeight="1" x14ac:dyDescent="0.35">
      <c r="A579" s="103">
        <v>38</v>
      </c>
      <c r="B579" s="103" t="s">
        <v>2132</v>
      </c>
      <c r="C579" s="123" t="s">
        <v>2099</v>
      </c>
      <c r="D579" s="67"/>
      <c r="E579" s="67"/>
    </row>
    <row r="580" spans="1:5" ht="18" customHeight="1" x14ac:dyDescent="0.35">
      <c r="A580" s="120">
        <v>39</v>
      </c>
      <c r="B580" s="120" t="s">
        <v>2133</v>
      </c>
      <c r="C580" s="123" t="s">
        <v>2099</v>
      </c>
      <c r="D580" s="67"/>
      <c r="E580" s="67"/>
    </row>
    <row r="581" spans="1:5" ht="18" customHeight="1" x14ac:dyDescent="0.35">
      <c r="A581" s="103">
        <v>40</v>
      </c>
      <c r="B581" s="103" t="s">
        <v>2134</v>
      </c>
      <c r="C581" s="123" t="s">
        <v>2099</v>
      </c>
      <c r="D581" s="67"/>
      <c r="E581" s="67"/>
    </row>
    <row r="582" spans="1:5" ht="18" customHeight="1" x14ac:dyDescent="0.35">
      <c r="A582" s="120">
        <v>41</v>
      </c>
      <c r="B582" s="120" t="s">
        <v>2135</v>
      </c>
      <c r="C582" s="123" t="s">
        <v>2099</v>
      </c>
      <c r="D582" s="67"/>
      <c r="E582" s="67"/>
    </row>
    <row r="583" spans="1:5" ht="18" customHeight="1" x14ac:dyDescent="0.35">
      <c r="A583" s="103">
        <v>42</v>
      </c>
      <c r="B583" s="103" t="s">
        <v>2136</v>
      </c>
      <c r="C583" s="123" t="s">
        <v>2099</v>
      </c>
      <c r="D583" s="67"/>
      <c r="E583" s="67"/>
    </row>
    <row r="584" spans="1:5" ht="18" customHeight="1" x14ac:dyDescent="0.35">
      <c r="A584" s="120">
        <v>43</v>
      </c>
      <c r="B584" s="120" t="s">
        <v>2137</v>
      </c>
      <c r="C584" s="123" t="s">
        <v>2099</v>
      </c>
      <c r="D584" s="67"/>
      <c r="E584" s="67"/>
    </row>
    <row r="585" spans="1:5" ht="18" customHeight="1" x14ac:dyDescent="0.35">
      <c r="A585" s="103">
        <v>44</v>
      </c>
      <c r="B585" s="103" t="s">
        <v>2138</v>
      </c>
      <c r="C585" s="121" t="s">
        <v>2101</v>
      </c>
      <c r="D585" s="67"/>
      <c r="E585" s="67"/>
    </row>
    <row r="586" spans="1:5" ht="18" customHeight="1" x14ac:dyDescent="0.35">
      <c r="A586" s="120">
        <v>45</v>
      </c>
      <c r="B586" s="120" t="s">
        <v>2139</v>
      </c>
      <c r="C586" s="123" t="s">
        <v>2099</v>
      </c>
      <c r="D586" s="67"/>
      <c r="E586" s="67"/>
    </row>
    <row r="587" spans="1:5" ht="18" customHeight="1" x14ac:dyDescent="0.35">
      <c r="A587" s="103">
        <v>46</v>
      </c>
      <c r="B587" s="103" t="s">
        <v>2140</v>
      </c>
      <c r="C587" s="123" t="s">
        <v>2099</v>
      </c>
      <c r="D587" s="67"/>
      <c r="E587" s="67"/>
    </row>
    <row r="588" spans="1:5" ht="18" customHeight="1" x14ac:dyDescent="0.35">
      <c r="A588" s="120">
        <v>47</v>
      </c>
      <c r="B588" s="120" t="s">
        <v>2141</v>
      </c>
      <c r="C588" s="123" t="s">
        <v>2099</v>
      </c>
      <c r="D588" s="67"/>
      <c r="E588" s="67"/>
    </row>
    <row r="589" spans="1:5" ht="18" customHeight="1" x14ac:dyDescent="0.35">
      <c r="A589" s="103">
        <v>48</v>
      </c>
      <c r="B589" s="103" t="s">
        <v>2142</v>
      </c>
      <c r="C589" s="123" t="s">
        <v>2099</v>
      </c>
      <c r="D589" s="67"/>
      <c r="E589" s="67"/>
    </row>
    <row r="590" spans="1:5" ht="18" customHeight="1" x14ac:dyDescent="0.35">
      <c r="A590" s="120">
        <v>49</v>
      </c>
      <c r="B590" s="120" t="s">
        <v>2143</v>
      </c>
      <c r="C590" s="123" t="s">
        <v>2099</v>
      </c>
      <c r="D590" s="67"/>
      <c r="E590" s="67"/>
    </row>
    <row r="591" spans="1:5" ht="18" customHeight="1" x14ac:dyDescent="0.35">
      <c r="A591" s="103">
        <v>50</v>
      </c>
      <c r="B591" s="103" t="s">
        <v>2144</v>
      </c>
      <c r="C591" s="123" t="s">
        <v>2099</v>
      </c>
      <c r="D591" s="67"/>
      <c r="E591" s="67"/>
    </row>
    <row r="592" spans="1:5" ht="18" customHeight="1" x14ac:dyDescent="0.35">
      <c r="A592" s="120">
        <v>51</v>
      </c>
      <c r="B592" s="120" t="s">
        <v>2145</v>
      </c>
      <c r="C592" s="123" t="s">
        <v>2099</v>
      </c>
      <c r="D592" s="67"/>
      <c r="E592" s="67"/>
    </row>
    <row r="593" spans="1:5" ht="18" customHeight="1" x14ac:dyDescent="0.35">
      <c r="A593" s="103">
        <v>52</v>
      </c>
      <c r="B593" s="103" t="s">
        <v>2146</v>
      </c>
      <c r="C593" s="121" t="s">
        <v>2101</v>
      </c>
      <c r="D593" s="67"/>
      <c r="E593" s="67"/>
    </row>
    <row r="594" spans="1:5" ht="18" customHeight="1" x14ac:dyDescent="0.35">
      <c r="A594" s="120">
        <v>53</v>
      </c>
      <c r="B594" s="120" t="s">
        <v>2147</v>
      </c>
      <c r="C594" s="123" t="s">
        <v>2099</v>
      </c>
      <c r="D594" s="67"/>
      <c r="E594" s="67"/>
    </row>
    <row r="595" spans="1:5" ht="18" customHeight="1" x14ac:dyDescent="0.35">
      <c r="A595" s="103">
        <v>54</v>
      </c>
      <c r="B595" s="103" t="s">
        <v>2148</v>
      </c>
      <c r="C595" s="123" t="s">
        <v>2099</v>
      </c>
      <c r="D595" s="67"/>
      <c r="E595" s="67"/>
    </row>
    <row r="596" spans="1:5" ht="18" customHeight="1" x14ac:dyDescent="0.35">
      <c r="A596" s="120">
        <v>55</v>
      </c>
      <c r="B596" s="120" t="s">
        <v>2149</v>
      </c>
      <c r="C596" s="123" t="s">
        <v>2099</v>
      </c>
      <c r="D596" s="67"/>
      <c r="E596" s="6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zoomScaleNormal="100" workbookViewId="0">
      <selection sqref="A1:E19"/>
    </sheetView>
  </sheetViews>
  <sheetFormatPr defaultColWidth="8.6640625" defaultRowHeight="15.6" x14ac:dyDescent="0.3"/>
  <cols>
    <col min="1" max="1" width="21.88671875" style="169" bestFit="1" customWidth="1"/>
    <col min="2" max="2" width="17.77734375" style="169" bestFit="1" customWidth="1"/>
    <col min="3" max="3" width="33.77734375" style="169" bestFit="1" customWidth="1"/>
    <col min="4" max="4" width="13.33203125" style="169" bestFit="1" customWidth="1"/>
    <col min="5" max="5" width="7.33203125" style="169" bestFit="1" customWidth="1"/>
  </cols>
  <sheetData>
    <row r="1" spans="1:5" x14ac:dyDescent="0.3">
      <c r="A1" s="164" t="s">
        <v>2150</v>
      </c>
      <c r="B1" s="170"/>
      <c r="C1" s="170"/>
      <c r="D1" s="170"/>
      <c r="E1" s="170"/>
    </row>
    <row r="2" spans="1:5" x14ac:dyDescent="0.3">
      <c r="A2" s="165" t="s">
        <v>34</v>
      </c>
      <c r="B2" s="164"/>
      <c r="C2" s="164"/>
      <c r="D2" s="164"/>
      <c r="E2" s="166" t="s">
        <v>2151</v>
      </c>
    </row>
    <row r="3" spans="1:5" x14ac:dyDescent="0.3">
      <c r="A3" s="166" t="s">
        <v>21</v>
      </c>
      <c r="B3" s="166" t="s">
        <v>384</v>
      </c>
      <c r="C3" s="167" t="s">
        <v>1322</v>
      </c>
      <c r="D3" s="168" t="s">
        <v>1320</v>
      </c>
      <c r="E3" s="166" t="s">
        <v>2152</v>
      </c>
    </row>
    <row r="4" spans="1:5" x14ac:dyDescent="0.3">
      <c r="A4" s="166" t="s">
        <v>94</v>
      </c>
      <c r="B4" s="170"/>
      <c r="C4" s="170"/>
      <c r="D4" s="170"/>
      <c r="E4" s="166" t="s">
        <v>2153</v>
      </c>
    </row>
    <row r="5" spans="1:5" x14ac:dyDescent="0.3">
      <c r="A5" s="166" t="s">
        <v>399</v>
      </c>
      <c r="B5" s="170"/>
      <c r="C5" s="170"/>
      <c r="D5" s="170"/>
      <c r="E5" s="166" t="s">
        <v>2154</v>
      </c>
    </row>
    <row r="6" spans="1:5" x14ac:dyDescent="0.3">
      <c r="A6" s="166" t="s">
        <v>2155</v>
      </c>
      <c r="B6" s="166" t="s">
        <v>385</v>
      </c>
      <c r="C6" s="167" t="s">
        <v>2156</v>
      </c>
      <c r="D6" s="168" t="s">
        <v>2157</v>
      </c>
      <c r="E6" s="166" t="s">
        <v>2158</v>
      </c>
    </row>
    <row r="7" spans="1:5" x14ac:dyDescent="0.3">
      <c r="A7" s="166" t="s">
        <v>132</v>
      </c>
      <c r="B7" s="166" t="s">
        <v>386</v>
      </c>
      <c r="C7" s="167" t="s">
        <v>1484</v>
      </c>
      <c r="D7" s="168" t="s">
        <v>1483</v>
      </c>
      <c r="E7" s="166" t="s">
        <v>2159</v>
      </c>
    </row>
    <row r="8" spans="1:5" x14ac:dyDescent="0.3">
      <c r="A8" s="166" t="s">
        <v>39</v>
      </c>
      <c r="B8" s="170"/>
      <c r="C8" s="170"/>
      <c r="D8" s="170"/>
      <c r="E8" s="166" t="s">
        <v>2160</v>
      </c>
    </row>
    <row r="9" spans="1:5" x14ac:dyDescent="0.3">
      <c r="A9" s="166" t="s">
        <v>25</v>
      </c>
      <c r="B9" s="166" t="s">
        <v>387</v>
      </c>
      <c r="C9" s="167" t="s">
        <v>2161</v>
      </c>
      <c r="D9" s="168" t="s">
        <v>1069</v>
      </c>
      <c r="E9" s="166" t="s">
        <v>2162</v>
      </c>
    </row>
    <row r="10" spans="1:5" x14ac:dyDescent="0.3">
      <c r="A10" s="166" t="s">
        <v>388</v>
      </c>
      <c r="B10" s="166" t="s">
        <v>177</v>
      </c>
      <c r="C10" s="167" t="s">
        <v>728</v>
      </c>
      <c r="D10" s="168" t="s">
        <v>727</v>
      </c>
      <c r="E10" s="166" t="s">
        <v>2163</v>
      </c>
    </row>
    <row r="11" spans="1:5" x14ac:dyDescent="0.3">
      <c r="A11" s="166" t="s">
        <v>139</v>
      </c>
      <c r="B11" s="166" t="s">
        <v>253</v>
      </c>
      <c r="C11" s="167" t="s">
        <v>2164</v>
      </c>
      <c r="D11" s="168" t="s">
        <v>2165</v>
      </c>
      <c r="E11" s="166" t="s">
        <v>2166</v>
      </c>
    </row>
    <row r="12" spans="1:5" x14ac:dyDescent="0.3">
      <c r="A12" s="166" t="s">
        <v>389</v>
      </c>
      <c r="B12" s="170"/>
      <c r="C12" s="167"/>
      <c r="D12" s="170"/>
      <c r="E12" s="166" t="s">
        <v>2167</v>
      </c>
    </row>
    <row r="13" spans="1:5" x14ac:dyDescent="0.3">
      <c r="A13" s="166" t="s">
        <v>105</v>
      </c>
      <c r="B13" s="166" t="s">
        <v>390</v>
      </c>
      <c r="C13" s="167" t="s">
        <v>2168</v>
      </c>
      <c r="D13" s="168" t="s">
        <v>2169</v>
      </c>
      <c r="E13" s="166" t="s">
        <v>2170</v>
      </c>
    </row>
    <row r="14" spans="1:5" x14ac:dyDescent="0.3">
      <c r="A14" s="166" t="s">
        <v>2171</v>
      </c>
      <c r="B14" s="166" t="s">
        <v>392</v>
      </c>
      <c r="C14" s="167" t="s">
        <v>2172</v>
      </c>
      <c r="D14" s="168" t="s">
        <v>1390</v>
      </c>
      <c r="E14" s="166" t="s">
        <v>2173</v>
      </c>
    </row>
    <row r="15" spans="1:5" x14ac:dyDescent="0.3">
      <c r="A15" s="166" t="s">
        <v>150</v>
      </c>
      <c r="B15" s="166" t="s">
        <v>393</v>
      </c>
      <c r="C15" s="167" t="s">
        <v>1427</v>
      </c>
      <c r="D15" s="168" t="s">
        <v>1426</v>
      </c>
      <c r="E15" s="166" t="s">
        <v>2174</v>
      </c>
    </row>
    <row r="16" spans="1:5" x14ac:dyDescent="0.3">
      <c r="A16" s="166" t="s">
        <v>394</v>
      </c>
      <c r="B16" s="166" t="s">
        <v>395</v>
      </c>
      <c r="C16" s="167" t="s">
        <v>2175</v>
      </c>
      <c r="D16" s="168" t="s">
        <v>1116</v>
      </c>
      <c r="E16" s="166" t="s">
        <v>2176</v>
      </c>
    </row>
    <row r="17" spans="1:5" x14ac:dyDescent="0.3">
      <c r="A17" s="166" t="s">
        <v>396</v>
      </c>
      <c r="B17" s="170"/>
      <c r="C17" s="170"/>
      <c r="D17" s="170"/>
      <c r="E17" s="166" t="s">
        <v>2177</v>
      </c>
    </row>
    <row r="18" spans="1:5" x14ac:dyDescent="0.3">
      <c r="A18" s="166" t="s">
        <v>47</v>
      </c>
      <c r="B18" s="166" t="s">
        <v>397</v>
      </c>
      <c r="C18" s="167" t="s">
        <v>2178</v>
      </c>
      <c r="D18" s="168" t="s">
        <v>1525</v>
      </c>
      <c r="E18" s="166" t="s">
        <v>2179</v>
      </c>
    </row>
    <row r="19" spans="1:5" x14ac:dyDescent="0.3">
      <c r="A19" s="166" t="s">
        <v>398</v>
      </c>
      <c r="B19" s="170"/>
      <c r="C19" s="170"/>
      <c r="D19" s="170"/>
      <c r="E19" s="166" t="s">
        <v>2180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63"/>
  <sheetViews>
    <sheetView zoomScaleNormal="100" workbookViewId="0">
      <selection activeCell="G14" sqref="G14"/>
    </sheetView>
  </sheetViews>
  <sheetFormatPr defaultColWidth="8.6640625" defaultRowHeight="14.4" x14ac:dyDescent="0.3"/>
  <cols>
    <col min="1" max="1" width="23.88671875" customWidth="1"/>
    <col min="2" max="2" width="11.21875" customWidth="1"/>
    <col min="5" max="5" width="9.88671875" customWidth="1"/>
    <col min="8" max="8" width="20" customWidth="1"/>
    <col min="10" max="10" width="9.5546875" customWidth="1"/>
    <col min="20" max="23" width="10.5546875" customWidth="1"/>
    <col min="40" max="40" width="20.109375" customWidth="1"/>
  </cols>
  <sheetData>
    <row r="1" spans="1:40" x14ac:dyDescent="0.3">
      <c r="A1" s="1" t="s">
        <v>401</v>
      </c>
      <c r="B1" s="1" t="s">
        <v>8</v>
      </c>
      <c r="C1" s="1" t="s">
        <v>402</v>
      </c>
      <c r="D1" s="2" t="s">
        <v>9</v>
      </c>
      <c r="E1" s="1" t="s">
        <v>403</v>
      </c>
      <c r="F1" s="1" t="s">
        <v>404</v>
      </c>
      <c r="G1" s="1" t="s">
        <v>405</v>
      </c>
      <c r="H1" s="3" t="s">
        <v>406</v>
      </c>
      <c r="I1" s="128" t="s">
        <v>2181</v>
      </c>
      <c r="J1" s="4" t="s">
        <v>2182</v>
      </c>
      <c r="K1" s="5" t="s">
        <v>2183</v>
      </c>
      <c r="L1" s="4" t="s">
        <v>2184</v>
      </c>
      <c r="M1" s="5" t="s">
        <v>2185</v>
      </c>
      <c r="N1" s="4" t="s">
        <v>407</v>
      </c>
      <c r="O1" s="5" t="s">
        <v>408</v>
      </c>
      <c r="P1" s="4" t="s">
        <v>409</v>
      </c>
      <c r="Q1" s="5" t="s">
        <v>410</v>
      </c>
      <c r="R1" s="4" t="s">
        <v>411</v>
      </c>
      <c r="S1" s="5" t="s">
        <v>412</v>
      </c>
      <c r="T1" s="4" t="s">
        <v>413</v>
      </c>
      <c r="U1" s="5" t="s">
        <v>414</v>
      </c>
      <c r="V1" s="4" t="s">
        <v>415</v>
      </c>
      <c r="W1" s="5" t="s">
        <v>416</v>
      </c>
      <c r="X1" s="4" t="s">
        <v>417</v>
      </c>
      <c r="Y1" s="5" t="s">
        <v>418</v>
      </c>
      <c r="Z1" s="4" t="s">
        <v>419</v>
      </c>
      <c r="AA1" s="5" t="s">
        <v>420</v>
      </c>
      <c r="AB1" s="4" t="s">
        <v>421</v>
      </c>
      <c r="AC1" s="5" t="s">
        <v>422</v>
      </c>
      <c r="AD1" s="4" t="s">
        <v>423</v>
      </c>
      <c r="AE1" s="5" t="s">
        <v>424</v>
      </c>
      <c r="AF1" s="4" t="s">
        <v>425</v>
      </c>
      <c r="AG1" s="5" t="s">
        <v>426</v>
      </c>
      <c r="AH1" s="4" t="s">
        <v>427</v>
      </c>
      <c r="AI1" s="5" t="s">
        <v>428</v>
      </c>
      <c r="AJ1" s="4" t="s">
        <v>429</v>
      </c>
      <c r="AK1" s="5" t="s">
        <v>430</v>
      </c>
      <c r="AL1" s="4" t="s">
        <v>431</v>
      </c>
      <c r="AM1" s="5" t="s">
        <v>432</v>
      </c>
      <c r="AN1" s="6" t="s">
        <v>437</v>
      </c>
    </row>
    <row r="2" spans="1:40" x14ac:dyDescent="0.3">
      <c r="A2" s="8" t="s">
        <v>439</v>
      </c>
      <c r="B2" s="8" t="s">
        <v>34</v>
      </c>
      <c r="C2" s="9" t="s">
        <v>440</v>
      </c>
      <c r="D2" s="10">
        <v>1</v>
      </c>
      <c r="E2" s="11" t="s">
        <v>441</v>
      </c>
      <c r="F2" s="11" t="s">
        <v>442</v>
      </c>
      <c r="G2" s="11"/>
      <c r="H2" s="129"/>
      <c r="I2" s="8"/>
      <c r="J2" s="13">
        <v>350</v>
      </c>
      <c r="K2" s="13"/>
      <c r="L2" s="13">
        <v>350</v>
      </c>
      <c r="M2" s="13"/>
      <c r="N2" s="13">
        <v>350</v>
      </c>
      <c r="O2" s="13"/>
      <c r="P2" s="13">
        <v>350</v>
      </c>
      <c r="Q2" s="13"/>
      <c r="R2" s="13">
        <v>350</v>
      </c>
      <c r="S2" s="13"/>
      <c r="T2" s="13">
        <v>350</v>
      </c>
      <c r="U2" s="13"/>
      <c r="V2" s="13">
        <v>350</v>
      </c>
      <c r="W2" s="13"/>
      <c r="X2" s="13">
        <v>350</v>
      </c>
      <c r="Y2" s="13"/>
      <c r="Z2" s="13">
        <v>350</v>
      </c>
      <c r="AA2" s="13"/>
      <c r="AB2" s="13">
        <v>350</v>
      </c>
      <c r="AC2" s="13"/>
      <c r="AD2" s="13">
        <v>350</v>
      </c>
      <c r="AE2" s="13"/>
      <c r="AF2" s="13">
        <v>350</v>
      </c>
      <c r="AG2" s="13"/>
      <c r="AH2" s="13">
        <v>350</v>
      </c>
      <c r="AI2" s="13"/>
      <c r="AJ2" s="13">
        <v>350</v>
      </c>
      <c r="AK2" s="13"/>
      <c r="AL2" s="13">
        <v>350</v>
      </c>
      <c r="AM2" s="13"/>
      <c r="AN2" s="14" t="s">
        <v>2186</v>
      </c>
    </row>
    <row r="3" spans="1:40" x14ac:dyDescent="0.3">
      <c r="A3" s="8"/>
      <c r="B3" s="8" t="s">
        <v>34</v>
      </c>
      <c r="C3" s="8"/>
      <c r="D3" s="10">
        <v>4</v>
      </c>
      <c r="E3" s="11"/>
      <c r="F3" s="11"/>
      <c r="G3" s="11"/>
      <c r="H3" s="130"/>
      <c r="I3" s="8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18"/>
    </row>
    <row r="4" spans="1:40" x14ac:dyDescent="0.3">
      <c r="A4" s="8"/>
      <c r="B4" s="8" t="s">
        <v>34</v>
      </c>
      <c r="C4" s="8"/>
      <c r="D4" s="10">
        <v>6</v>
      </c>
      <c r="E4" s="11"/>
      <c r="F4" s="11"/>
      <c r="G4" s="11"/>
      <c r="H4" s="130"/>
      <c r="I4" s="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18"/>
    </row>
    <row r="5" spans="1:40" x14ac:dyDescent="0.3">
      <c r="A5" s="8" t="s">
        <v>487</v>
      </c>
      <c r="B5" s="8" t="s">
        <v>34</v>
      </c>
      <c r="C5" s="8"/>
      <c r="D5" s="10">
        <v>8</v>
      </c>
      <c r="E5" s="11"/>
      <c r="F5" s="11"/>
      <c r="G5" s="11"/>
      <c r="H5" s="130"/>
      <c r="I5" s="8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18" t="s">
        <v>2187</v>
      </c>
    </row>
    <row r="6" spans="1:40" x14ac:dyDescent="0.3">
      <c r="A6" s="8" t="s">
        <v>1781</v>
      </c>
      <c r="B6" s="8" t="s">
        <v>34</v>
      </c>
      <c r="C6" s="8" t="s">
        <v>1782</v>
      </c>
      <c r="D6" s="10" t="s">
        <v>1783</v>
      </c>
      <c r="E6" s="11"/>
      <c r="F6" s="11"/>
      <c r="G6" s="11"/>
      <c r="H6" s="130"/>
      <c r="I6" s="8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18"/>
    </row>
    <row r="7" spans="1:40" x14ac:dyDescent="0.3">
      <c r="A7" s="8" t="s">
        <v>272</v>
      </c>
      <c r="B7" s="8" t="s">
        <v>232</v>
      </c>
      <c r="C7" s="9" t="s">
        <v>501</v>
      </c>
      <c r="D7" s="10">
        <v>10</v>
      </c>
      <c r="E7" s="11"/>
      <c r="F7" s="11"/>
      <c r="G7" s="11"/>
      <c r="H7" s="130"/>
      <c r="I7" s="8"/>
      <c r="J7" s="13">
        <v>350</v>
      </c>
      <c r="K7" s="13"/>
      <c r="L7" s="13">
        <v>350</v>
      </c>
      <c r="M7" s="13"/>
      <c r="N7" s="13">
        <v>350</v>
      </c>
      <c r="O7" s="13"/>
      <c r="P7" s="13">
        <v>350</v>
      </c>
      <c r="Q7" s="13"/>
      <c r="R7" s="13">
        <v>350</v>
      </c>
      <c r="S7" s="13"/>
      <c r="T7" s="13">
        <v>350</v>
      </c>
      <c r="U7" s="13"/>
      <c r="V7" s="13">
        <v>350</v>
      </c>
      <c r="W7" s="13"/>
      <c r="X7" s="13">
        <v>350</v>
      </c>
      <c r="Y7" s="13"/>
      <c r="Z7" s="13">
        <v>350</v>
      </c>
      <c r="AA7" s="13"/>
      <c r="AB7" s="13">
        <v>350</v>
      </c>
      <c r="AC7" s="13"/>
      <c r="AD7" s="13">
        <v>350</v>
      </c>
      <c r="AE7" s="13"/>
      <c r="AF7" s="13">
        <v>350</v>
      </c>
      <c r="AG7" s="13"/>
      <c r="AH7" s="13">
        <v>350</v>
      </c>
      <c r="AI7" s="13"/>
      <c r="AJ7" s="13">
        <v>350</v>
      </c>
      <c r="AK7" s="13"/>
      <c r="AL7" s="13">
        <v>350</v>
      </c>
      <c r="AM7" s="13"/>
      <c r="AN7" s="18"/>
    </row>
    <row r="8" spans="1:40" ht="18" customHeight="1" x14ac:dyDescent="0.35">
      <c r="A8" s="8" t="s">
        <v>33</v>
      </c>
      <c r="B8" s="8" t="s">
        <v>232</v>
      </c>
      <c r="C8" s="9" t="s">
        <v>506</v>
      </c>
      <c r="D8" s="10">
        <v>11</v>
      </c>
      <c r="E8" s="11"/>
      <c r="F8" s="11"/>
      <c r="G8" s="11"/>
      <c r="H8" s="130"/>
      <c r="I8" s="8"/>
      <c r="J8" s="13"/>
      <c r="K8" s="13"/>
      <c r="L8" s="13"/>
      <c r="M8" s="13"/>
      <c r="N8" s="13"/>
      <c r="O8" s="13"/>
      <c r="P8" s="13"/>
      <c r="Q8" s="13"/>
      <c r="R8" s="67"/>
      <c r="S8" s="13"/>
      <c r="T8" s="13"/>
      <c r="U8" s="13"/>
      <c r="V8" s="13"/>
      <c r="W8" s="13">
        <v>700</v>
      </c>
      <c r="X8" s="13"/>
      <c r="Y8" s="13">
        <v>350</v>
      </c>
      <c r="Z8" s="13"/>
      <c r="AA8" s="13">
        <v>350</v>
      </c>
      <c r="AB8" s="13"/>
      <c r="AC8" s="13">
        <v>350</v>
      </c>
      <c r="AD8" s="13"/>
      <c r="AE8" s="13">
        <v>350</v>
      </c>
      <c r="AF8" s="13"/>
      <c r="AG8" s="13">
        <v>350</v>
      </c>
      <c r="AH8" s="13"/>
      <c r="AI8" s="13">
        <v>350</v>
      </c>
      <c r="AJ8" s="13"/>
      <c r="AK8" s="13">
        <v>350</v>
      </c>
      <c r="AL8" s="13"/>
      <c r="AM8" s="13">
        <v>350</v>
      </c>
      <c r="AN8" s="18" t="s">
        <v>2188</v>
      </c>
    </row>
    <row r="9" spans="1:40" x14ac:dyDescent="0.3">
      <c r="A9" s="8"/>
      <c r="B9" s="8" t="s">
        <v>232</v>
      </c>
      <c r="C9" s="8"/>
      <c r="D9" s="10">
        <v>12</v>
      </c>
      <c r="E9" s="11"/>
      <c r="F9" s="11"/>
      <c r="G9" s="11"/>
      <c r="H9" s="129"/>
      <c r="I9" s="8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8"/>
    </row>
    <row r="10" spans="1:40" x14ac:dyDescent="0.3">
      <c r="A10" s="8" t="s">
        <v>533</v>
      </c>
      <c r="B10" s="8" t="s">
        <v>232</v>
      </c>
      <c r="C10" s="9" t="s">
        <v>534</v>
      </c>
      <c r="D10" s="10">
        <v>14</v>
      </c>
      <c r="E10" s="11"/>
      <c r="F10" s="11"/>
      <c r="G10" s="11"/>
      <c r="H10" s="129"/>
      <c r="I10" s="8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8"/>
    </row>
    <row r="11" spans="1:40" x14ac:dyDescent="0.3">
      <c r="A11" s="8"/>
      <c r="B11" s="8" t="s">
        <v>232</v>
      </c>
      <c r="C11" s="8"/>
      <c r="D11" s="10">
        <v>16</v>
      </c>
      <c r="E11" s="11"/>
      <c r="F11" s="11"/>
      <c r="G11" s="11"/>
      <c r="H11" s="129"/>
      <c r="I11" s="8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8"/>
    </row>
    <row r="12" spans="1:40" x14ac:dyDescent="0.3">
      <c r="A12" s="131"/>
      <c r="B12" s="131"/>
      <c r="C12" s="131"/>
      <c r="D12" s="132"/>
      <c r="E12" s="133"/>
      <c r="F12" s="133"/>
      <c r="G12" s="133"/>
      <c r="H12" s="134"/>
      <c r="I12" s="131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6"/>
    </row>
    <row r="13" spans="1:40" x14ac:dyDescent="0.3">
      <c r="A13" s="137"/>
      <c r="B13" s="137"/>
      <c r="C13" s="137"/>
      <c r="D13" s="138"/>
      <c r="E13" s="139"/>
      <c r="F13" s="139"/>
      <c r="G13" s="139"/>
      <c r="H13" s="140"/>
      <c r="I13" s="141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3"/>
    </row>
    <row r="14" spans="1:40" x14ac:dyDescent="0.3">
      <c r="A14" s="8" t="s">
        <v>1722</v>
      </c>
      <c r="B14" s="8" t="s">
        <v>68</v>
      </c>
      <c r="C14" s="8"/>
      <c r="D14" s="46" t="s">
        <v>1723</v>
      </c>
      <c r="E14" s="11" t="s">
        <v>1724</v>
      </c>
      <c r="F14" s="11"/>
      <c r="G14" s="11"/>
      <c r="H14" s="130"/>
      <c r="I14" s="41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8"/>
    </row>
    <row r="15" spans="1:40" x14ac:dyDescent="0.3">
      <c r="A15" s="137"/>
      <c r="B15" s="139"/>
      <c r="C15" s="139"/>
      <c r="D15" s="144"/>
      <c r="E15" s="139"/>
      <c r="F15" s="139"/>
      <c r="G15" s="139"/>
      <c r="H15" s="145"/>
      <c r="I15" s="141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3"/>
    </row>
    <row r="16" spans="1:40" x14ac:dyDescent="0.3">
      <c r="A16" s="137"/>
      <c r="B16" s="137"/>
      <c r="C16" s="137"/>
      <c r="D16" s="144"/>
      <c r="E16" s="139"/>
      <c r="F16" s="139"/>
      <c r="G16" s="139"/>
      <c r="H16" s="145"/>
      <c r="I16" s="141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3"/>
    </row>
    <row r="17" spans="1:40" x14ac:dyDescent="0.3">
      <c r="A17" s="11" t="s">
        <v>1599</v>
      </c>
      <c r="B17" s="11" t="s">
        <v>39</v>
      </c>
      <c r="C17" s="9" t="s">
        <v>1600</v>
      </c>
      <c r="D17" s="46" t="s">
        <v>2189</v>
      </c>
      <c r="E17" s="11" t="s">
        <v>2190</v>
      </c>
      <c r="F17" s="28"/>
      <c r="G17" s="28"/>
      <c r="H17" s="130"/>
      <c r="I17" s="41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8"/>
    </row>
    <row r="18" spans="1:40" x14ac:dyDescent="0.3">
      <c r="A18" s="11" t="s">
        <v>1784</v>
      </c>
      <c r="B18" s="11" t="s">
        <v>39</v>
      </c>
      <c r="C18" s="9" t="s">
        <v>1785</v>
      </c>
      <c r="D18" s="46" t="s">
        <v>2191</v>
      </c>
      <c r="E18" s="11" t="s">
        <v>1786</v>
      </c>
      <c r="F18" s="11"/>
      <c r="G18" s="11"/>
      <c r="H18" s="147" t="s">
        <v>1788</v>
      </c>
      <c r="I18" s="41"/>
      <c r="J18" s="13">
        <v>350</v>
      </c>
      <c r="K18" s="13"/>
      <c r="L18" s="13">
        <v>350</v>
      </c>
      <c r="M18" s="13"/>
      <c r="N18" s="13">
        <v>350</v>
      </c>
      <c r="O18" s="13"/>
      <c r="P18" s="13">
        <v>350</v>
      </c>
      <c r="Q18" s="13"/>
      <c r="R18" s="13">
        <v>350</v>
      </c>
      <c r="S18" s="13"/>
      <c r="T18" s="13">
        <v>350</v>
      </c>
      <c r="U18" s="13"/>
      <c r="V18" s="13">
        <v>350</v>
      </c>
      <c r="W18" s="13"/>
      <c r="X18" s="13">
        <v>350</v>
      </c>
      <c r="Y18" s="13"/>
      <c r="Z18" s="13">
        <v>350</v>
      </c>
      <c r="AA18" s="13"/>
      <c r="AB18" s="13">
        <v>350</v>
      </c>
      <c r="AC18" s="13"/>
      <c r="AD18" s="13">
        <v>350</v>
      </c>
      <c r="AE18" s="13"/>
      <c r="AF18" s="13">
        <v>350</v>
      </c>
      <c r="AG18" s="13"/>
      <c r="AH18" s="13">
        <v>350</v>
      </c>
      <c r="AI18" s="13"/>
      <c r="AJ18" s="13">
        <v>350</v>
      </c>
      <c r="AK18" s="13"/>
      <c r="AL18" s="13">
        <v>350</v>
      </c>
      <c r="AM18" s="13"/>
      <c r="AN18" s="18"/>
    </row>
    <row r="19" spans="1:40" x14ac:dyDescent="0.3">
      <c r="A19" s="11"/>
      <c r="B19" s="11" t="s">
        <v>39</v>
      </c>
      <c r="C19" s="11"/>
      <c r="D19" s="46" t="s">
        <v>35</v>
      </c>
      <c r="E19" s="11"/>
      <c r="F19" s="11"/>
      <c r="G19" s="11"/>
      <c r="H19" s="130"/>
      <c r="I19" s="41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8"/>
    </row>
    <row r="20" spans="1:40" x14ac:dyDescent="0.3">
      <c r="A20" s="11"/>
      <c r="B20" s="11" t="s">
        <v>39</v>
      </c>
      <c r="C20" s="11"/>
      <c r="D20" s="46" t="s">
        <v>1613</v>
      </c>
      <c r="E20" s="11"/>
      <c r="F20" s="11"/>
      <c r="G20" s="11"/>
      <c r="H20" s="130"/>
      <c r="I20" s="41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8"/>
    </row>
    <row r="21" spans="1:40" x14ac:dyDescent="0.3">
      <c r="A21" s="11" t="s">
        <v>1657</v>
      </c>
      <c r="B21" s="11" t="s">
        <v>39</v>
      </c>
      <c r="C21" s="11"/>
      <c r="D21" s="46" t="s">
        <v>1658</v>
      </c>
      <c r="E21" s="11" t="s">
        <v>1659</v>
      </c>
      <c r="F21" s="11"/>
      <c r="G21" s="11"/>
      <c r="H21" s="147" t="s">
        <v>1660</v>
      </c>
      <c r="I21" s="4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8"/>
    </row>
    <row r="22" spans="1:40" x14ac:dyDescent="0.3">
      <c r="A22" s="11" t="s">
        <v>1664</v>
      </c>
      <c r="B22" s="11" t="s">
        <v>39</v>
      </c>
      <c r="C22" s="9" t="s">
        <v>1665</v>
      </c>
      <c r="D22" s="46" t="s">
        <v>1666</v>
      </c>
      <c r="E22" s="11"/>
      <c r="F22" s="11"/>
      <c r="G22" s="11"/>
      <c r="H22" s="130"/>
      <c r="I22" s="41"/>
      <c r="J22" s="13">
        <v>350</v>
      </c>
      <c r="K22" s="13"/>
      <c r="L22" s="13">
        <v>350</v>
      </c>
      <c r="M22" s="13"/>
      <c r="N22" s="13">
        <v>350</v>
      </c>
      <c r="O22" s="13"/>
      <c r="P22" s="13">
        <v>350</v>
      </c>
      <c r="Q22" s="13"/>
      <c r="R22" s="13">
        <v>350</v>
      </c>
      <c r="S22" s="13"/>
      <c r="T22" s="13">
        <v>350</v>
      </c>
      <c r="U22" s="13"/>
      <c r="V22" s="13">
        <v>350</v>
      </c>
      <c r="W22" s="13"/>
      <c r="X22" s="13">
        <v>350</v>
      </c>
      <c r="Y22" s="13"/>
      <c r="Z22" s="13">
        <v>350</v>
      </c>
      <c r="AA22" s="13"/>
      <c r="AB22" s="13">
        <v>350</v>
      </c>
      <c r="AC22" s="13"/>
      <c r="AD22" s="13">
        <v>350</v>
      </c>
      <c r="AE22" s="13"/>
      <c r="AF22" s="13">
        <v>350</v>
      </c>
      <c r="AG22" s="13"/>
      <c r="AH22" s="13">
        <v>350</v>
      </c>
      <c r="AI22" s="13"/>
      <c r="AJ22" s="13">
        <v>350</v>
      </c>
      <c r="AK22" s="13"/>
      <c r="AL22" s="13">
        <v>350</v>
      </c>
      <c r="AM22" s="13"/>
      <c r="AN22" s="18"/>
    </row>
    <row r="23" spans="1:40" x14ac:dyDescent="0.3">
      <c r="A23" s="11" t="s">
        <v>1667</v>
      </c>
      <c r="B23" s="11" t="s">
        <v>39</v>
      </c>
      <c r="C23" s="9" t="s">
        <v>1668</v>
      </c>
      <c r="D23" s="46" t="s">
        <v>1669</v>
      </c>
      <c r="E23" s="11"/>
      <c r="F23" s="11"/>
      <c r="G23" s="11"/>
      <c r="H23" s="130"/>
      <c r="I23" s="41"/>
      <c r="J23" s="13">
        <v>363</v>
      </c>
      <c r="K23" s="13"/>
      <c r="L23" s="13">
        <v>363</v>
      </c>
      <c r="M23" s="13"/>
      <c r="N23" s="13">
        <v>363</v>
      </c>
      <c r="O23" s="13"/>
      <c r="P23" s="13">
        <v>363</v>
      </c>
      <c r="Q23" s="13"/>
      <c r="R23" s="13">
        <v>363</v>
      </c>
      <c r="S23" s="13"/>
      <c r="T23" s="13">
        <v>363</v>
      </c>
      <c r="U23" s="13"/>
      <c r="V23" s="13">
        <v>363</v>
      </c>
      <c r="W23" s="13"/>
      <c r="X23" s="13">
        <v>363</v>
      </c>
      <c r="Y23" s="13"/>
      <c r="Z23" s="13">
        <v>363</v>
      </c>
      <c r="AA23" s="13"/>
      <c r="AB23" s="13">
        <v>363</v>
      </c>
      <c r="AC23" s="13"/>
      <c r="AD23" s="13">
        <v>363</v>
      </c>
      <c r="AE23" s="13"/>
      <c r="AF23" s="13">
        <v>363</v>
      </c>
      <c r="AG23" s="13"/>
      <c r="AH23" s="13">
        <v>363</v>
      </c>
      <c r="AI23" s="13"/>
      <c r="AJ23" s="13">
        <v>363</v>
      </c>
      <c r="AK23" s="13"/>
      <c r="AL23" s="13">
        <v>363</v>
      </c>
      <c r="AM23" s="13"/>
      <c r="AN23" s="18"/>
    </row>
    <row r="24" spans="1:40" x14ac:dyDescent="0.3">
      <c r="A24" s="137"/>
      <c r="B24" s="139"/>
      <c r="C24" s="148"/>
      <c r="D24" s="144"/>
      <c r="E24" s="139"/>
      <c r="F24" s="139"/>
      <c r="G24" s="139"/>
      <c r="H24" s="145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3"/>
    </row>
    <row r="25" spans="1:40" x14ac:dyDescent="0.3">
      <c r="A25" s="137"/>
      <c r="B25" s="137"/>
      <c r="C25" s="137"/>
      <c r="D25" s="144"/>
      <c r="E25" s="139"/>
      <c r="F25" s="139"/>
      <c r="G25" s="139"/>
      <c r="H25" s="145"/>
      <c r="I25" s="141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3"/>
    </row>
    <row r="26" spans="1:40" x14ac:dyDescent="0.3">
      <c r="A26" s="8"/>
      <c r="B26" s="8" t="s">
        <v>389</v>
      </c>
      <c r="C26" s="8"/>
      <c r="D26" s="10">
        <v>3</v>
      </c>
      <c r="E26" s="11"/>
      <c r="F26" s="11"/>
      <c r="G26" s="11"/>
      <c r="H26" s="129"/>
      <c r="I26" s="41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18"/>
    </row>
    <row r="27" spans="1:40" x14ac:dyDescent="0.3">
      <c r="A27" s="8"/>
      <c r="B27" s="8" t="s">
        <v>389</v>
      </c>
      <c r="C27" s="8"/>
      <c r="D27" s="10">
        <v>5</v>
      </c>
      <c r="E27" s="11"/>
      <c r="F27" s="11"/>
      <c r="G27" s="11"/>
      <c r="H27" s="129"/>
      <c r="I27" s="41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18"/>
    </row>
    <row r="28" spans="1:40" x14ac:dyDescent="0.3">
      <c r="A28" s="8" t="s">
        <v>485</v>
      </c>
      <c r="B28" s="8" t="s">
        <v>389</v>
      </c>
      <c r="C28" s="8"/>
      <c r="D28" s="10">
        <v>7</v>
      </c>
      <c r="E28" s="11" t="s">
        <v>486</v>
      </c>
      <c r="F28" s="11"/>
      <c r="G28" s="11"/>
      <c r="H28" s="129"/>
      <c r="I28" s="41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18"/>
    </row>
    <row r="29" spans="1:40" x14ac:dyDescent="0.3">
      <c r="A29" s="8"/>
      <c r="B29" s="8" t="s">
        <v>389</v>
      </c>
      <c r="C29" s="8"/>
      <c r="D29" s="10">
        <v>9</v>
      </c>
      <c r="E29" s="11"/>
      <c r="F29" s="11"/>
      <c r="G29" s="11"/>
      <c r="H29" s="129"/>
      <c r="I29" s="41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18"/>
    </row>
    <row r="30" spans="1:40" x14ac:dyDescent="0.3">
      <c r="A30" s="8" t="s">
        <v>512</v>
      </c>
      <c r="B30" s="8" t="s">
        <v>389</v>
      </c>
      <c r="C30" s="8"/>
      <c r="D30" s="10">
        <v>11</v>
      </c>
      <c r="E30" s="11" t="s">
        <v>513</v>
      </c>
      <c r="F30" s="11"/>
      <c r="G30" s="11"/>
      <c r="H30" s="129"/>
      <c r="I30" s="41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18"/>
    </row>
    <row r="31" spans="1:40" x14ac:dyDescent="0.3">
      <c r="A31" s="8" t="s">
        <v>530</v>
      </c>
      <c r="B31" s="8" t="s">
        <v>389</v>
      </c>
      <c r="C31" s="8"/>
      <c r="D31" s="10">
        <v>13</v>
      </c>
      <c r="E31" s="11" t="s">
        <v>531</v>
      </c>
      <c r="F31" s="11"/>
      <c r="G31" s="11"/>
      <c r="H31" s="129" t="s">
        <v>532</v>
      </c>
      <c r="I31" s="41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18"/>
    </row>
    <row r="32" spans="1:40" x14ac:dyDescent="0.3">
      <c r="A32" s="8" t="s">
        <v>2192</v>
      </c>
      <c r="B32" s="8" t="s">
        <v>389</v>
      </c>
      <c r="C32" s="8"/>
      <c r="D32" s="10">
        <v>15</v>
      </c>
      <c r="E32" s="11" t="s">
        <v>544</v>
      </c>
      <c r="F32" s="11"/>
      <c r="G32" s="11"/>
      <c r="H32" s="129"/>
      <c r="I32" s="41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18"/>
    </row>
    <row r="33" spans="1:40" x14ac:dyDescent="0.3">
      <c r="A33" s="8"/>
      <c r="B33" s="8" t="s">
        <v>389</v>
      </c>
      <c r="C33" s="8"/>
      <c r="D33" s="10">
        <v>17</v>
      </c>
      <c r="E33" s="11"/>
      <c r="F33" s="11"/>
      <c r="G33" s="11"/>
      <c r="H33" s="129"/>
      <c r="I33" s="41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18"/>
    </row>
    <row r="34" spans="1:40" x14ac:dyDescent="0.3">
      <c r="A34" s="8" t="s">
        <v>552</v>
      </c>
      <c r="B34" s="8" t="s">
        <v>389</v>
      </c>
      <c r="C34" s="8"/>
      <c r="D34" s="10">
        <v>18</v>
      </c>
      <c r="E34" s="11" t="s">
        <v>553</v>
      </c>
      <c r="F34" s="11"/>
      <c r="G34" s="11"/>
      <c r="H34" s="129" t="s">
        <v>554</v>
      </c>
      <c r="I34" s="41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18"/>
    </row>
    <row r="35" spans="1:40" x14ac:dyDescent="0.3">
      <c r="A35" s="8" t="s">
        <v>569</v>
      </c>
      <c r="B35" s="8" t="s">
        <v>389</v>
      </c>
      <c r="C35" s="8"/>
      <c r="D35" s="10">
        <v>20</v>
      </c>
      <c r="E35" s="11" t="s">
        <v>570</v>
      </c>
      <c r="F35" s="11"/>
      <c r="G35" s="11"/>
      <c r="H35" s="129" t="s">
        <v>571</v>
      </c>
      <c r="I35" s="41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18"/>
    </row>
    <row r="36" spans="1:40" x14ac:dyDescent="0.3">
      <c r="A36" s="8" t="s">
        <v>590</v>
      </c>
      <c r="B36" s="8" t="s">
        <v>389</v>
      </c>
      <c r="C36" s="8"/>
      <c r="D36" s="10">
        <v>22</v>
      </c>
      <c r="E36" s="11"/>
      <c r="F36" s="11"/>
      <c r="G36" s="11"/>
      <c r="H36" s="129"/>
      <c r="I36" s="41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13">
        <v>4200</v>
      </c>
      <c r="AJ36" s="13"/>
      <c r="AK36" s="13"/>
      <c r="AL36" s="13"/>
      <c r="AM36" s="13"/>
      <c r="AN36" s="18" t="s">
        <v>591</v>
      </c>
    </row>
    <row r="37" spans="1:40" x14ac:dyDescent="0.3">
      <c r="A37" s="8" t="s">
        <v>601</v>
      </c>
      <c r="B37" s="8" t="s">
        <v>389</v>
      </c>
      <c r="C37" s="8"/>
      <c r="D37" s="10">
        <v>24</v>
      </c>
      <c r="E37" s="11" t="s">
        <v>602</v>
      </c>
      <c r="F37" s="11"/>
      <c r="G37" s="11"/>
      <c r="H37" s="129" t="s">
        <v>603</v>
      </c>
      <c r="I37" s="41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18"/>
    </row>
    <row r="38" spans="1:40" x14ac:dyDescent="0.3">
      <c r="A38" s="137"/>
      <c r="B38" s="137"/>
      <c r="C38" s="137"/>
      <c r="D38" s="144"/>
      <c r="E38" s="139"/>
      <c r="F38" s="139"/>
      <c r="G38" s="139"/>
      <c r="H38" s="145"/>
      <c r="I38" s="141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3"/>
    </row>
    <row r="39" spans="1:40" x14ac:dyDescent="0.3">
      <c r="A39" s="137"/>
      <c r="B39" s="137"/>
      <c r="C39" s="137"/>
      <c r="D39" s="144"/>
      <c r="E39" s="139"/>
      <c r="F39" s="139"/>
      <c r="G39" s="139"/>
      <c r="H39" s="145"/>
      <c r="I39" s="141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3"/>
    </row>
    <row r="40" spans="1:40" x14ac:dyDescent="0.3">
      <c r="A40" s="11"/>
      <c r="B40" s="8" t="s">
        <v>625</v>
      </c>
      <c r="C40" s="8"/>
      <c r="D40" s="46" t="s">
        <v>133</v>
      </c>
      <c r="E40" s="28"/>
      <c r="F40" s="28"/>
      <c r="G40" s="28"/>
      <c r="H40" s="130"/>
      <c r="I40" s="41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18"/>
    </row>
    <row r="41" spans="1:40" x14ac:dyDescent="0.3">
      <c r="A41" s="11"/>
      <c r="B41" s="8" t="s">
        <v>625</v>
      </c>
      <c r="C41" s="8"/>
      <c r="D41" s="46" t="s">
        <v>2193</v>
      </c>
      <c r="E41" s="28"/>
      <c r="F41" s="28"/>
      <c r="G41" s="28"/>
      <c r="H41" s="130"/>
      <c r="I41" s="41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18"/>
    </row>
    <row r="42" spans="1:40" x14ac:dyDescent="0.3">
      <c r="A42" s="11"/>
      <c r="B42" s="8" t="s">
        <v>625</v>
      </c>
      <c r="C42" s="8"/>
      <c r="D42" s="46" t="s">
        <v>2194</v>
      </c>
      <c r="E42" s="28"/>
      <c r="F42" s="28"/>
      <c r="G42" s="28"/>
      <c r="H42" s="130"/>
      <c r="I42" s="41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18"/>
    </row>
    <row r="43" spans="1:40" x14ac:dyDescent="0.3">
      <c r="A43" s="8"/>
      <c r="B43" s="8" t="s">
        <v>625</v>
      </c>
      <c r="C43" s="8"/>
      <c r="D43" s="10">
        <v>25</v>
      </c>
      <c r="E43" s="11"/>
      <c r="F43" s="11"/>
      <c r="G43" s="11"/>
      <c r="H43" s="129"/>
      <c r="I43" s="41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18"/>
    </row>
    <row r="44" spans="1:40" x14ac:dyDescent="0.3">
      <c r="A44" s="8"/>
      <c r="B44" s="8" t="s">
        <v>625</v>
      </c>
      <c r="C44" s="8"/>
      <c r="D44" s="10">
        <v>26</v>
      </c>
      <c r="E44" s="11"/>
      <c r="F44" s="11"/>
      <c r="G44" s="11"/>
      <c r="H44" s="129"/>
      <c r="I44" s="41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18"/>
    </row>
    <row r="45" spans="1:40" x14ac:dyDescent="0.3">
      <c r="A45" s="8"/>
      <c r="B45" s="8" t="s">
        <v>625</v>
      </c>
      <c r="C45" s="8"/>
      <c r="D45" s="10">
        <v>27</v>
      </c>
      <c r="E45" s="11"/>
      <c r="F45" s="11"/>
      <c r="G45" s="11"/>
      <c r="H45" s="129"/>
      <c r="I45" s="41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18"/>
    </row>
    <row r="46" spans="1:40" x14ac:dyDescent="0.3">
      <c r="A46" s="8"/>
      <c r="B46" s="8" t="s">
        <v>625</v>
      </c>
      <c r="C46" s="8"/>
      <c r="D46" s="10">
        <v>29</v>
      </c>
      <c r="E46" s="11"/>
      <c r="F46" s="11"/>
      <c r="G46" s="11"/>
      <c r="H46" s="129"/>
      <c r="I46" s="41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18"/>
    </row>
    <row r="47" spans="1:40" x14ac:dyDescent="0.3">
      <c r="A47" s="8"/>
      <c r="B47" s="8" t="s">
        <v>625</v>
      </c>
      <c r="C47" s="8"/>
      <c r="D47" s="10">
        <v>31</v>
      </c>
      <c r="E47" s="11"/>
      <c r="F47" s="11"/>
      <c r="G47" s="11"/>
      <c r="H47" s="129"/>
      <c r="I47" s="41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18"/>
    </row>
    <row r="48" spans="1:40" x14ac:dyDescent="0.3">
      <c r="A48" s="8"/>
      <c r="B48" s="8" t="s">
        <v>625</v>
      </c>
      <c r="C48" s="8"/>
      <c r="D48" s="10">
        <v>35</v>
      </c>
      <c r="E48" s="11"/>
      <c r="F48" s="11"/>
      <c r="G48" s="11"/>
      <c r="H48" s="129"/>
      <c r="I48" s="41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18"/>
    </row>
    <row r="49" spans="1:40" x14ac:dyDescent="0.3">
      <c r="A49" s="8"/>
      <c r="B49" s="8" t="s">
        <v>625</v>
      </c>
      <c r="C49" s="8"/>
      <c r="D49" s="10">
        <v>37</v>
      </c>
      <c r="E49" s="11"/>
      <c r="F49" s="11"/>
      <c r="G49" s="11"/>
      <c r="H49" s="129"/>
      <c r="I49" s="41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18"/>
    </row>
    <row r="50" spans="1:40" x14ac:dyDescent="0.3">
      <c r="A50" s="8"/>
      <c r="B50" s="8" t="s">
        <v>625</v>
      </c>
      <c r="C50" s="8"/>
      <c r="D50" s="10">
        <v>39</v>
      </c>
      <c r="E50" s="11"/>
      <c r="F50" s="11"/>
      <c r="G50" s="11"/>
      <c r="H50" s="129"/>
      <c r="I50" s="41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18"/>
    </row>
    <row r="51" spans="1:40" x14ac:dyDescent="0.3">
      <c r="A51" s="8"/>
      <c r="B51" s="8" t="s">
        <v>625</v>
      </c>
      <c r="C51" s="8"/>
      <c r="D51" s="10">
        <v>41</v>
      </c>
      <c r="E51" s="11"/>
      <c r="F51" s="11"/>
      <c r="G51" s="11"/>
      <c r="H51" s="129"/>
      <c r="I51" s="41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18"/>
    </row>
    <row r="52" spans="1:40" ht="18" customHeight="1" x14ac:dyDescent="0.35">
      <c r="A52" s="67"/>
      <c r="B52" s="67"/>
      <c r="C52" s="67"/>
      <c r="D52" s="67"/>
      <c r="E52" s="67"/>
      <c r="F52" s="67"/>
      <c r="G52" s="67"/>
      <c r="H52" s="67"/>
      <c r="I52" s="67"/>
      <c r="J52" s="149">
        <f t="shared" ref="J52:AM52" si="0">SUM(J2:J51)</f>
        <v>1763</v>
      </c>
      <c r="K52" s="149">
        <f t="shared" si="0"/>
        <v>0</v>
      </c>
      <c r="L52" s="149">
        <f t="shared" si="0"/>
        <v>1763</v>
      </c>
      <c r="M52" s="149">
        <f t="shared" si="0"/>
        <v>0</v>
      </c>
      <c r="N52" s="149">
        <f t="shared" si="0"/>
        <v>1763</v>
      </c>
      <c r="O52" s="149">
        <f t="shared" si="0"/>
        <v>0</v>
      </c>
      <c r="P52" s="149">
        <f t="shared" si="0"/>
        <v>1763</v>
      </c>
      <c r="Q52" s="149">
        <f t="shared" si="0"/>
        <v>0</v>
      </c>
      <c r="R52" s="149">
        <f t="shared" si="0"/>
        <v>1763</v>
      </c>
      <c r="S52" s="149">
        <f t="shared" si="0"/>
        <v>0</v>
      </c>
      <c r="T52" s="149">
        <f t="shared" si="0"/>
        <v>1763</v>
      </c>
      <c r="U52" s="149">
        <f t="shared" si="0"/>
        <v>0</v>
      </c>
      <c r="V52" s="149">
        <f t="shared" si="0"/>
        <v>1763</v>
      </c>
      <c r="W52" s="149">
        <f t="shared" si="0"/>
        <v>700</v>
      </c>
      <c r="X52" s="149">
        <f t="shared" si="0"/>
        <v>1763</v>
      </c>
      <c r="Y52" s="149">
        <f t="shared" si="0"/>
        <v>350</v>
      </c>
      <c r="Z52" s="149">
        <f t="shared" si="0"/>
        <v>1763</v>
      </c>
      <c r="AA52" s="149">
        <f t="shared" si="0"/>
        <v>350</v>
      </c>
      <c r="AB52" s="149">
        <f t="shared" si="0"/>
        <v>1763</v>
      </c>
      <c r="AC52" s="149">
        <f t="shared" si="0"/>
        <v>350</v>
      </c>
      <c r="AD52" s="149">
        <f t="shared" si="0"/>
        <v>1763</v>
      </c>
      <c r="AE52" s="149">
        <f t="shared" si="0"/>
        <v>350</v>
      </c>
      <c r="AF52" s="149">
        <f t="shared" si="0"/>
        <v>1763</v>
      </c>
      <c r="AG52" s="149">
        <f t="shared" si="0"/>
        <v>350</v>
      </c>
      <c r="AH52" s="149">
        <f t="shared" si="0"/>
        <v>1763</v>
      </c>
      <c r="AI52" s="149">
        <f t="shared" si="0"/>
        <v>4550</v>
      </c>
      <c r="AJ52" s="149">
        <f t="shared" si="0"/>
        <v>1763</v>
      </c>
      <c r="AK52" s="149">
        <f t="shared" si="0"/>
        <v>350</v>
      </c>
      <c r="AL52" s="149">
        <f t="shared" si="0"/>
        <v>1763</v>
      </c>
      <c r="AM52" s="149">
        <f t="shared" si="0"/>
        <v>350</v>
      </c>
      <c r="AN52" s="67"/>
    </row>
    <row r="53" spans="1:40" ht="18" customHeight="1" x14ac:dyDescent="0.35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</row>
    <row r="54" spans="1:40" ht="18" customHeight="1" x14ac:dyDescent="0.35">
      <c r="A54" s="67"/>
      <c r="B54" s="67"/>
      <c r="C54" s="67"/>
      <c r="D54" s="67"/>
      <c r="E54" s="67"/>
      <c r="F54" s="67"/>
      <c r="G54" s="67"/>
      <c r="H54" s="67"/>
      <c r="I54" s="67"/>
      <c r="J54" s="150" t="s">
        <v>2195</v>
      </c>
      <c r="K54" s="150">
        <v>0</v>
      </c>
      <c r="L54" s="150" t="s">
        <v>2195</v>
      </c>
      <c r="M54" s="150">
        <f>K61</f>
        <v>1763</v>
      </c>
      <c r="N54" s="150" t="s">
        <v>2195</v>
      </c>
      <c r="O54" s="150">
        <f>M61</f>
        <v>3526</v>
      </c>
      <c r="P54" s="150" t="s">
        <v>2195</v>
      </c>
      <c r="Q54" s="150">
        <f>O61</f>
        <v>5289</v>
      </c>
      <c r="R54" s="150" t="s">
        <v>2195</v>
      </c>
      <c r="S54" s="150">
        <f>Q61</f>
        <v>7052</v>
      </c>
      <c r="T54" s="150" t="s">
        <v>2195</v>
      </c>
      <c r="U54" s="150">
        <f>S61</f>
        <v>8815</v>
      </c>
      <c r="V54" s="150" t="s">
        <v>2195</v>
      </c>
      <c r="W54" s="150">
        <f>U61</f>
        <v>0</v>
      </c>
      <c r="X54" s="150" t="s">
        <v>2195</v>
      </c>
      <c r="Y54" s="150">
        <f>W61</f>
        <v>2463</v>
      </c>
      <c r="Z54" s="150" t="s">
        <v>2195</v>
      </c>
      <c r="AA54" s="150">
        <f>Y61</f>
        <v>4576</v>
      </c>
      <c r="AB54" s="150" t="s">
        <v>2195</v>
      </c>
      <c r="AC54" s="150">
        <f>AA61</f>
        <v>6689</v>
      </c>
      <c r="AD54" s="150" t="s">
        <v>2195</v>
      </c>
      <c r="AE54" s="150">
        <f>AC61</f>
        <v>5440.4</v>
      </c>
      <c r="AF54" s="150" t="s">
        <v>2196</v>
      </c>
      <c r="AG54" s="150">
        <f>AE61</f>
        <v>7553.4</v>
      </c>
      <c r="AH54" s="150" t="s">
        <v>2196</v>
      </c>
      <c r="AI54" s="150">
        <v>9666.4</v>
      </c>
      <c r="AJ54" s="150"/>
      <c r="AK54" s="150">
        <f>AI61</f>
        <v>14871.8</v>
      </c>
      <c r="AL54" s="150"/>
      <c r="AM54" s="150">
        <v>16984.8</v>
      </c>
      <c r="AN54" s="91"/>
    </row>
    <row r="55" spans="1:40" ht="18" customHeight="1" x14ac:dyDescent="0.35">
      <c r="A55" s="67"/>
      <c r="B55" s="67"/>
      <c r="C55" s="67"/>
      <c r="D55" s="67"/>
      <c r="E55" s="67"/>
      <c r="F55" s="67"/>
      <c r="G55" s="67"/>
      <c r="H55" s="67"/>
      <c r="I55" s="67"/>
      <c r="J55" s="151" t="s">
        <v>2197</v>
      </c>
      <c r="K55" s="150">
        <f>J52</f>
        <v>1763</v>
      </c>
      <c r="L55" s="151" t="s">
        <v>2197</v>
      </c>
      <c r="M55" s="150">
        <f>L52</f>
        <v>1763</v>
      </c>
      <c r="N55" s="151" t="s">
        <v>2197</v>
      </c>
      <c r="O55" s="150">
        <f>N52</f>
        <v>1763</v>
      </c>
      <c r="P55" s="151" t="s">
        <v>2197</v>
      </c>
      <c r="Q55" s="150">
        <f>P52</f>
        <v>1763</v>
      </c>
      <c r="R55" s="151" t="s">
        <v>2197</v>
      </c>
      <c r="S55" s="150">
        <f>R52</f>
        <v>1763</v>
      </c>
      <c r="T55" s="151" t="s">
        <v>2197</v>
      </c>
      <c r="U55" s="150">
        <f>T52</f>
        <v>1763</v>
      </c>
      <c r="V55" s="151" t="s">
        <v>2197</v>
      </c>
      <c r="W55" s="150">
        <f>V52</f>
        <v>1763</v>
      </c>
      <c r="X55" s="151" t="s">
        <v>2197</v>
      </c>
      <c r="Y55" s="150">
        <f>X52</f>
        <v>1763</v>
      </c>
      <c r="Z55" s="151" t="s">
        <v>2197</v>
      </c>
      <c r="AA55" s="150">
        <f>Z52</f>
        <v>1763</v>
      </c>
      <c r="AB55" s="151" t="s">
        <v>2197</v>
      </c>
      <c r="AC55" s="150">
        <f>AA55</f>
        <v>1763</v>
      </c>
      <c r="AD55" s="151" t="s">
        <v>2197</v>
      </c>
      <c r="AE55" s="150">
        <f>AD52</f>
        <v>1763</v>
      </c>
      <c r="AF55" s="151" t="s">
        <v>2197</v>
      </c>
      <c r="AG55" s="150">
        <f>AF52</f>
        <v>1763</v>
      </c>
      <c r="AH55" s="151" t="s">
        <v>2197</v>
      </c>
      <c r="AI55" s="150">
        <f>AH52</f>
        <v>1763</v>
      </c>
      <c r="AJ55" s="151" t="s">
        <v>2197</v>
      </c>
      <c r="AK55" s="150">
        <f>AJ52</f>
        <v>1763</v>
      </c>
      <c r="AL55" s="151" t="s">
        <v>2197</v>
      </c>
      <c r="AM55" s="150">
        <f>AL52</f>
        <v>1763</v>
      </c>
      <c r="AN55" s="91"/>
    </row>
    <row r="56" spans="1:40" ht="18" customHeight="1" x14ac:dyDescent="0.35">
      <c r="A56" s="67"/>
      <c r="B56" s="67"/>
      <c r="C56" s="67"/>
      <c r="D56" s="67"/>
      <c r="E56" s="67"/>
      <c r="F56" s="67"/>
      <c r="G56" s="67"/>
      <c r="H56" s="67"/>
      <c r="I56" s="67"/>
      <c r="J56" s="151" t="s">
        <v>2198</v>
      </c>
      <c r="K56" s="150">
        <f>K52</f>
        <v>0</v>
      </c>
      <c r="L56" s="151" t="s">
        <v>2198</v>
      </c>
      <c r="M56" s="150">
        <f>M52</f>
        <v>0</v>
      </c>
      <c r="N56" s="151" t="s">
        <v>2198</v>
      </c>
      <c r="O56" s="150">
        <f>O52</f>
        <v>0</v>
      </c>
      <c r="P56" s="151" t="s">
        <v>2198</v>
      </c>
      <c r="Q56" s="150">
        <f>Q52</f>
        <v>0</v>
      </c>
      <c r="R56" s="151" t="s">
        <v>2198</v>
      </c>
      <c r="S56" s="150">
        <f>S52</f>
        <v>0</v>
      </c>
      <c r="T56" s="151" t="s">
        <v>2198</v>
      </c>
      <c r="U56" s="150">
        <f>U52</f>
        <v>0</v>
      </c>
      <c r="V56" s="151" t="s">
        <v>2198</v>
      </c>
      <c r="W56" s="150">
        <f>W52</f>
        <v>700</v>
      </c>
      <c r="X56" s="151" t="s">
        <v>2198</v>
      </c>
      <c r="Y56" s="150">
        <f>Y52</f>
        <v>350</v>
      </c>
      <c r="Z56" s="151" t="s">
        <v>2198</v>
      </c>
      <c r="AA56" s="150">
        <f>AA52</f>
        <v>350</v>
      </c>
      <c r="AB56" s="151" t="s">
        <v>2198</v>
      </c>
      <c r="AC56" s="150">
        <f>AA56</f>
        <v>350</v>
      </c>
      <c r="AD56" s="151" t="s">
        <v>2198</v>
      </c>
      <c r="AE56" s="150">
        <f>AE52</f>
        <v>350</v>
      </c>
      <c r="AF56" s="151" t="s">
        <v>2198</v>
      </c>
      <c r="AG56" s="150">
        <f>AG52</f>
        <v>350</v>
      </c>
      <c r="AH56" s="151" t="s">
        <v>2198</v>
      </c>
      <c r="AI56" s="150">
        <f>AI52</f>
        <v>4550</v>
      </c>
      <c r="AJ56" s="151" t="s">
        <v>2198</v>
      </c>
      <c r="AK56" s="150">
        <f>AK52</f>
        <v>350</v>
      </c>
      <c r="AL56" s="151" t="s">
        <v>2198</v>
      </c>
      <c r="AM56" s="150">
        <f>AM52</f>
        <v>350</v>
      </c>
      <c r="AN56" s="91"/>
    </row>
    <row r="57" spans="1:40" ht="18" customHeight="1" x14ac:dyDescent="0.35">
      <c r="A57" s="67"/>
      <c r="B57" s="67"/>
      <c r="C57" s="67"/>
      <c r="D57" s="67"/>
      <c r="E57" s="67"/>
      <c r="F57" s="67"/>
      <c r="G57" s="67"/>
      <c r="H57" s="67"/>
      <c r="I57" s="67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2" t="s">
        <v>2199</v>
      </c>
      <c r="U57" s="150">
        <v>-9550</v>
      </c>
      <c r="V57" s="150"/>
      <c r="W57" s="150"/>
      <c r="X57" s="150"/>
      <c r="Y57" s="150"/>
      <c r="Z57" s="150"/>
      <c r="AA57" s="150"/>
      <c r="AB57" s="153" t="s">
        <v>2200</v>
      </c>
      <c r="AC57" s="154">
        <v>-2254</v>
      </c>
      <c r="AD57" s="154"/>
      <c r="AE57" s="154"/>
      <c r="AF57" s="154"/>
      <c r="AG57" s="154"/>
      <c r="AH57" s="150" t="s">
        <v>2201</v>
      </c>
      <c r="AI57" s="150">
        <v>-1107.5999999999999</v>
      </c>
      <c r="AJ57" s="150"/>
      <c r="AK57" s="150"/>
      <c r="AL57" s="150"/>
      <c r="AM57" s="150"/>
      <c r="AN57" s="91"/>
    </row>
    <row r="58" spans="1:40" ht="18" customHeight="1" x14ac:dyDescent="0.35">
      <c r="A58" s="67"/>
      <c r="B58" s="67"/>
      <c r="C58" s="67"/>
      <c r="D58" s="67"/>
      <c r="E58" s="67"/>
      <c r="F58" s="67"/>
      <c r="G58" s="67"/>
      <c r="H58" s="67"/>
      <c r="I58" s="67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2" t="s">
        <v>2201</v>
      </c>
      <c r="U58" s="150">
        <v>-1028</v>
      </c>
      <c r="V58" s="150"/>
      <c r="W58" s="150"/>
      <c r="X58" s="150"/>
      <c r="Y58" s="150"/>
      <c r="Z58" s="150"/>
      <c r="AA58" s="150"/>
      <c r="AB58" s="150" t="s">
        <v>2201</v>
      </c>
      <c r="AC58" s="150">
        <v>-1107.5999999999999</v>
      </c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91"/>
    </row>
    <row r="59" spans="1:40" ht="18" customHeight="1" x14ac:dyDescent="0.35">
      <c r="A59" s="67"/>
      <c r="B59" s="67"/>
      <c r="C59" s="67"/>
      <c r="D59" s="67"/>
      <c r="E59" s="67"/>
      <c r="F59" s="67"/>
      <c r="G59" s="67"/>
      <c r="H59" s="67"/>
      <c r="I59" s="67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91"/>
    </row>
    <row r="60" spans="1:40" ht="18" customHeight="1" x14ac:dyDescent="0.35">
      <c r="A60" s="67"/>
      <c r="B60" s="67"/>
      <c r="C60" s="67"/>
      <c r="D60" s="67"/>
      <c r="E60" s="67"/>
      <c r="F60" s="67"/>
      <c r="G60" s="67"/>
      <c r="H60" s="67"/>
      <c r="I60" s="67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49"/>
    </row>
    <row r="61" spans="1:40" ht="18" customHeight="1" x14ac:dyDescent="0.35">
      <c r="A61" s="67"/>
      <c r="B61" s="67"/>
      <c r="C61" s="67"/>
      <c r="D61" s="67"/>
      <c r="E61" s="67"/>
      <c r="F61" s="67"/>
      <c r="G61" s="67"/>
      <c r="H61" s="67"/>
      <c r="I61" s="67"/>
      <c r="J61" s="152" t="s">
        <v>2202</v>
      </c>
      <c r="K61" s="150">
        <f>SUM(K54:K60)</f>
        <v>1763</v>
      </c>
      <c r="L61" s="152" t="s">
        <v>2203</v>
      </c>
      <c r="M61" s="150">
        <f>SUM(M54:M60)</f>
        <v>3526</v>
      </c>
      <c r="N61" s="152" t="s">
        <v>2204</v>
      </c>
      <c r="O61" s="150">
        <f>SUM(O54:O60)</f>
        <v>5289</v>
      </c>
      <c r="P61" s="152" t="s">
        <v>2205</v>
      </c>
      <c r="Q61" s="150">
        <f>SUM(Q54:Q60)</f>
        <v>7052</v>
      </c>
      <c r="R61" s="152" t="s">
        <v>2206</v>
      </c>
      <c r="S61" s="150">
        <f>SUM(S54:S60)</f>
        <v>8815</v>
      </c>
      <c r="T61" s="152" t="s">
        <v>2207</v>
      </c>
      <c r="U61" s="150">
        <f>SUM(U54:U60)</f>
        <v>0</v>
      </c>
      <c r="V61" s="152" t="s">
        <v>2208</v>
      </c>
      <c r="W61" s="150">
        <f>SUM(W54:W60)</f>
        <v>2463</v>
      </c>
      <c r="X61" s="152" t="s">
        <v>2209</v>
      </c>
      <c r="Y61" s="150">
        <f>SUM(Y54:Y60)</f>
        <v>4576</v>
      </c>
      <c r="Z61" s="152" t="s">
        <v>2210</v>
      </c>
      <c r="AA61" s="150">
        <f>SUM(AA54:AA60)</f>
        <v>6689</v>
      </c>
      <c r="AB61" s="150" t="s">
        <v>2211</v>
      </c>
      <c r="AC61" s="150">
        <f>SUM(AC54:AC60)</f>
        <v>5440.4</v>
      </c>
      <c r="AD61" s="150" t="s">
        <v>2212</v>
      </c>
      <c r="AE61" s="150">
        <f>SUM(AE54:AE60)</f>
        <v>7553.4</v>
      </c>
      <c r="AF61" s="150" t="s">
        <v>2213</v>
      </c>
      <c r="AG61" s="150">
        <f>SUM(AG54:AG60)</f>
        <v>9666.4</v>
      </c>
      <c r="AH61" s="150" t="s">
        <v>2202</v>
      </c>
      <c r="AI61" s="150">
        <f>SUM(AI54:AI60)</f>
        <v>14871.8</v>
      </c>
      <c r="AJ61" s="150" t="s">
        <v>2203</v>
      </c>
      <c r="AK61" s="150">
        <f>SUM(AK54:AK60)</f>
        <v>16984.8</v>
      </c>
      <c r="AL61" s="150" t="s">
        <v>2204</v>
      </c>
      <c r="AM61" s="150">
        <f>SUM(AM54:AM60)</f>
        <v>19097.8</v>
      </c>
      <c r="AN61" s="91"/>
    </row>
    <row r="62" spans="1:40" ht="18" customHeight="1" x14ac:dyDescent="0.35">
      <c r="A62" s="67"/>
      <c r="B62" s="67"/>
      <c r="C62" s="67"/>
      <c r="D62" s="67"/>
      <c r="E62" s="67"/>
      <c r="F62" s="67"/>
      <c r="G62" s="67"/>
      <c r="H62" s="67"/>
      <c r="I62" s="67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67"/>
    </row>
    <row r="63" spans="1:40" ht="18" customHeight="1" x14ac:dyDescent="0.35">
      <c r="A63" s="67"/>
      <c r="B63" s="67"/>
      <c r="C63" s="67"/>
      <c r="D63" s="67"/>
      <c r="E63" s="67"/>
      <c r="F63" s="67"/>
      <c r="G63" s="67"/>
      <c r="H63" s="67"/>
      <c r="I63" s="67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6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zoomScaleNormal="100" workbookViewId="0"/>
  </sheetViews>
  <sheetFormatPr defaultColWidth="8.6640625" defaultRowHeight="14.4" x14ac:dyDescent="0.3"/>
  <sheetData>
    <row r="1" spans="1:10" ht="18" customHeight="1" x14ac:dyDescent="0.35">
      <c r="A1" s="103" t="s">
        <v>2214</v>
      </c>
      <c r="B1" s="67"/>
      <c r="C1" s="67"/>
      <c r="D1" s="67"/>
      <c r="E1" s="67"/>
      <c r="F1" s="67"/>
      <c r="G1" s="67"/>
      <c r="H1" s="67"/>
      <c r="I1" s="124" t="s">
        <v>2215</v>
      </c>
      <c r="J1" s="125" t="s">
        <v>2216</v>
      </c>
    </row>
    <row r="2" spans="1:10" ht="18" customHeight="1" x14ac:dyDescent="0.35">
      <c r="A2" s="103" t="s">
        <v>2217</v>
      </c>
      <c r="B2" s="67"/>
      <c r="C2" s="67"/>
      <c r="D2" s="67"/>
      <c r="E2" s="67"/>
      <c r="F2" s="67"/>
      <c r="G2" s="67"/>
      <c r="H2" s="67"/>
      <c r="I2" s="67"/>
      <c r="J2" s="125"/>
    </row>
    <row r="3" spans="1:10" ht="18" customHeight="1" x14ac:dyDescent="0.35">
      <c r="A3" s="103" t="s">
        <v>2218</v>
      </c>
      <c r="B3" s="67"/>
      <c r="C3" s="67"/>
      <c r="D3" s="67"/>
      <c r="E3" s="67"/>
      <c r="F3" s="67"/>
      <c r="G3" s="67"/>
      <c r="H3" s="67"/>
      <c r="I3" s="67"/>
      <c r="J3" s="126"/>
    </row>
    <row r="4" spans="1:10" ht="18" customHeight="1" x14ac:dyDescent="0.35">
      <c r="A4" s="67"/>
      <c r="B4" s="67"/>
      <c r="C4" s="67"/>
      <c r="D4" s="67"/>
      <c r="E4" s="67"/>
      <c r="F4" s="67"/>
      <c r="G4" s="67"/>
      <c r="H4" s="67"/>
      <c r="I4" s="67"/>
      <c r="J4" s="67"/>
    </row>
    <row r="5" spans="1:10" ht="18" customHeight="1" x14ac:dyDescent="0.35">
      <c r="A5" s="127" t="s">
        <v>2219</v>
      </c>
      <c r="B5" s="67"/>
      <c r="C5" s="67"/>
      <c r="D5" s="67"/>
      <c r="E5" s="67"/>
      <c r="F5" s="67"/>
      <c r="G5" s="67"/>
      <c r="H5" s="67"/>
      <c r="I5" s="67"/>
      <c r="J5" s="6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Comprehensive list</vt:lpstr>
      <vt:lpstr>Bank Reconciliation</vt:lpstr>
      <vt:lpstr>Bank Statement</vt:lpstr>
      <vt:lpstr>Matching Audit Log</vt:lpstr>
      <vt:lpstr>Expense Register</vt:lpstr>
      <vt:lpstr>Payment Summary</vt:lpstr>
      <vt:lpstr>Members Report</vt:lpstr>
      <vt:lpstr>Street Captains</vt:lpstr>
      <vt:lpstr>Blignautsrus North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Quintus Lategan</cp:lastModifiedBy>
  <cp:revision>0</cp:revision>
  <dcterms:created xsi:type="dcterms:W3CDTF">2026-04-24T18:06:42Z</dcterms:created>
  <dcterms:modified xsi:type="dcterms:W3CDTF">2026-06-04T05:12:05Z</dcterms:modified>
  <dc:language>en-US</dc:language>
</cp:coreProperties>
</file>